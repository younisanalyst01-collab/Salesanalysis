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younis\Downloads\"/>
    </mc:Choice>
  </mc:AlternateContent>
  <xr:revisionPtr revIDLastSave="0" documentId="13_ncr:1_{497A8085-5E92-4319-A7D7-DAF1F57A6E5D}" xr6:coauthVersionLast="47" xr6:coauthVersionMax="47" xr10:uidLastSave="{00000000-0000-0000-0000-000000000000}"/>
  <bookViews>
    <workbookView xWindow="0" yWindow="360" windowWidth="38640" windowHeight="21120" activeTab="2" xr2:uid="{6E7F4461-000B-4AA3-A182-E8338291251C}"/>
  </bookViews>
  <sheets>
    <sheet name="data cleaning" sheetId="7" r:id="rId1"/>
    <sheet name="Pivot table" sheetId="9" r:id="rId2"/>
    <sheet name="Charts" sheetId="8" r:id="rId3"/>
  </sheets>
  <definedNames>
    <definedName name="ExternalData_5" localSheetId="0" hidden="1">'data cleaning'!$A$1:$S$1051</definedName>
    <definedName name="Slicer_Category">#N/A</definedName>
    <definedName name="Slicer_Country">#N/A</definedName>
    <definedName name="Slicer_Order_Status">#N/A</definedName>
    <definedName name="Slicer_Payment_Method">#N/A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3" i="7" l="1"/>
  <c r="S3" i="7" s="1"/>
  <c r="Q4" i="7"/>
  <c r="S4" i="7" s="1"/>
  <c r="Q5" i="7"/>
  <c r="S5" i="7" s="1"/>
  <c r="Q6" i="7"/>
  <c r="S6" i="7" s="1"/>
  <c r="Q7" i="7"/>
  <c r="S7" i="7" s="1"/>
  <c r="Q8" i="7"/>
  <c r="S8" i="7" s="1"/>
  <c r="Q9" i="7"/>
  <c r="S9" i="7" s="1"/>
  <c r="Q10" i="7"/>
  <c r="S10" i="7" s="1"/>
  <c r="Q11" i="7"/>
  <c r="S11" i="7" s="1"/>
  <c r="Q12" i="7"/>
  <c r="S12" i="7" s="1"/>
  <c r="Q13" i="7"/>
  <c r="S13" i="7" s="1"/>
  <c r="Q14" i="7"/>
  <c r="S14" i="7" s="1"/>
  <c r="Q15" i="7"/>
  <c r="S15" i="7" s="1"/>
  <c r="Q16" i="7"/>
  <c r="S16" i="7" s="1"/>
  <c r="Q17" i="7"/>
  <c r="S17" i="7" s="1"/>
  <c r="Q18" i="7"/>
  <c r="S18" i="7" s="1"/>
  <c r="Q19" i="7"/>
  <c r="S19" i="7" s="1"/>
  <c r="Q20" i="7"/>
  <c r="S20" i="7" s="1"/>
  <c r="Q21" i="7"/>
  <c r="S21" i="7" s="1"/>
  <c r="Q22" i="7"/>
  <c r="S22" i="7" s="1"/>
  <c r="Q23" i="7"/>
  <c r="S23" i="7" s="1"/>
  <c r="Q24" i="7"/>
  <c r="S24" i="7" s="1"/>
  <c r="Q25" i="7"/>
  <c r="S25" i="7" s="1"/>
  <c r="Q26" i="7"/>
  <c r="S26" i="7" s="1"/>
  <c r="Q27" i="7"/>
  <c r="S27" i="7" s="1"/>
  <c r="Q28" i="7"/>
  <c r="S28" i="7" s="1"/>
  <c r="Q29" i="7"/>
  <c r="S29" i="7" s="1"/>
  <c r="Q30" i="7"/>
  <c r="S30" i="7" s="1"/>
  <c r="Q31" i="7"/>
  <c r="S31" i="7" s="1"/>
  <c r="Q32" i="7"/>
  <c r="S32" i="7" s="1"/>
  <c r="Q33" i="7"/>
  <c r="S33" i="7" s="1"/>
  <c r="Q34" i="7"/>
  <c r="S34" i="7" s="1"/>
  <c r="Q35" i="7"/>
  <c r="S35" i="7" s="1"/>
  <c r="Q36" i="7"/>
  <c r="S36" i="7" s="1"/>
  <c r="Q37" i="7"/>
  <c r="S37" i="7" s="1"/>
  <c r="Q38" i="7"/>
  <c r="S38" i="7" s="1"/>
  <c r="Q39" i="7"/>
  <c r="S39" i="7" s="1"/>
  <c r="Q40" i="7"/>
  <c r="S40" i="7" s="1"/>
  <c r="Q41" i="7"/>
  <c r="S41" i="7" s="1"/>
  <c r="Q42" i="7"/>
  <c r="S42" i="7" s="1"/>
  <c r="Q43" i="7"/>
  <c r="S43" i="7" s="1"/>
  <c r="Q44" i="7"/>
  <c r="S44" i="7" s="1"/>
  <c r="Q45" i="7"/>
  <c r="S45" i="7" s="1"/>
  <c r="Q46" i="7"/>
  <c r="S46" i="7" s="1"/>
  <c r="Q47" i="7"/>
  <c r="S47" i="7" s="1"/>
  <c r="Q48" i="7"/>
  <c r="S48" i="7" s="1"/>
  <c r="Q49" i="7"/>
  <c r="S49" i="7" s="1"/>
  <c r="Q50" i="7"/>
  <c r="S50" i="7" s="1"/>
  <c r="Q51" i="7"/>
  <c r="S51" i="7" s="1"/>
  <c r="Q52" i="7"/>
  <c r="S52" i="7" s="1"/>
  <c r="Q53" i="7"/>
  <c r="S53" i="7" s="1"/>
  <c r="Q54" i="7"/>
  <c r="S54" i="7" s="1"/>
  <c r="Q55" i="7"/>
  <c r="S55" i="7" s="1"/>
  <c r="Q56" i="7"/>
  <c r="S56" i="7" s="1"/>
  <c r="Q57" i="7"/>
  <c r="S57" i="7" s="1"/>
  <c r="Q58" i="7"/>
  <c r="S58" i="7" s="1"/>
  <c r="Q59" i="7"/>
  <c r="S59" i="7" s="1"/>
  <c r="Q60" i="7"/>
  <c r="S60" i="7" s="1"/>
  <c r="Q61" i="7"/>
  <c r="S61" i="7" s="1"/>
  <c r="Q62" i="7"/>
  <c r="S62" i="7" s="1"/>
  <c r="Q63" i="7"/>
  <c r="S63" i="7" s="1"/>
  <c r="Q64" i="7"/>
  <c r="S64" i="7" s="1"/>
  <c r="Q65" i="7"/>
  <c r="S65" i="7" s="1"/>
  <c r="Q66" i="7"/>
  <c r="S66" i="7" s="1"/>
  <c r="Q67" i="7"/>
  <c r="S67" i="7" s="1"/>
  <c r="Q68" i="7"/>
  <c r="S68" i="7" s="1"/>
  <c r="Q69" i="7"/>
  <c r="S69" i="7" s="1"/>
  <c r="Q70" i="7"/>
  <c r="S70" i="7" s="1"/>
  <c r="Q71" i="7"/>
  <c r="S71" i="7" s="1"/>
  <c r="Q72" i="7"/>
  <c r="S72" i="7" s="1"/>
  <c r="Q73" i="7"/>
  <c r="S73" i="7" s="1"/>
  <c r="Q74" i="7"/>
  <c r="S74" i="7" s="1"/>
  <c r="Q75" i="7"/>
  <c r="S75" i="7" s="1"/>
  <c r="Q76" i="7"/>
  <c r="S76" i="7" s="1"/>
  <c r="Q77" i="7"/>
  <c r="S77" i="7" s="1"/>
  <c r="Q78" i="7"/>
  <c r="S78" i="7" s="1"/>
  <c r="Q79" i="7"/>
  <c r="S79" i="7" s="1"/>
  <c r="Q80" i="7"/>
  <c r="S80" i="7" s="1"/>
  <c r="Q81" i="7"/>
  <c r="S81" i="7" s="1"/>
  <c r="Q82" i="7"/>
  <c r="S82" i="7" s="1"/>
  <c r="Q83" i="7"/>
  <c r="S83" i="7" s="1"/>
  <c r="Q84" i="7"/>
  <c r="S84" i="7" s="1"/>
  <c r="Q85" i="7"/>
  <c r="S85" i="7" s="1"/>
  <c r="Q86" i="7"/>
  <c r="S86" i="7" s="1"/>
  <c r="Q87" i="7"/>
  <c r="S87" i="7" s="1"/>
  <c r="Q88" i="7"/>
  <c r="S88" i="7" s="1"/>
  <c r="Q89" i="7"/>
  <c r="S89" i="7" s="1"/>
  <c r="Q90" i="7"/>
  <c r="S90" i="7" s="1"/>
  <c r="Q91" i="7"/>
  <c r="S91" i="7" s="1"/>
  <c r="Q92" i="7"/>
  <c r="S92" i="7" s="1"/>
  <c r="Q93" i="7"/>
  <c r="S93" i="7" s="1"/>
  <c r="Q94" i="7"/>
  <c r="S94" i="7" s="1"/>
  <c r="Q95" i="7"/>
  <c r="S95" i="7" s="1"/>
  <c r="Q96" i="7"/>
  <c r="S96" i="7" s="1"/>
  <c r="Q97" i="7"/>
  <c r="S97" i="7" s="1"/>
  <c r="Q98" i="7"/>
  <c r="S98" i="7" s="1"/>
  <c r="Q99" i="7"/>
  <c r="S99" i="7" s="1"/>
  <c r="Q100" i="7"/>
  <c r="S100" i="7" s="1"/>
  <c r="Q101" i="7"/>
  <c r="S101" i="7" s="1"/>
  <c r="Q102" i="7"/>
  <c r="S102" i="7" s="1"/>
  <c r="Q103" i="7"/>
  <c r="S103" i="7" s="1"/>
  <c r="Q104" i="7"/>
  <c r="S104" i="7" s="1"/>
  <c r="Q105" i="7"/>
  <c r="S105" i="7" s="1"/>
  <c r="Q106" i="7"/>
  <c r="S106" i="7" s="1"/>
  <c r="Q107" i="7"/>
  <c r="S107" i="7" s="1"/>
  <c r="Q108" i="7"/>
  <c r="S108" i="7" s="1"/>
  <c r="Q109" i="7"/>
  <c r="S109" i="7" s="1"/>
  <c r="Q110" i="7"/>
  <c r="S110" i="7" s="1"/>
  <c r="Q111" i="7"/>
  <c r="S111" i="7" s="1"/>
  <c r="Q112" i="7"/>
  <c r="S112" i="7" s="1"/>
  <c r="Q113" i="7"/>
  <c r="S113" i="7" s="1"/>
  <c r="Q114" i="7"/>
  <c r="S114" i="7" s="1"/>
  <c r="Q115" i="7"/>
  <c r="S115" i="7" s="1"/>
  <c r="Q116" i="7"/>
  <c r="S116" i="7" s="1"/>
  <c r="Q117" i="7"/>
  <c r="S117" i="7" s="1"/>
  <c r="Q118" i="7"/>
  <c r="S118" i="7" s="1"/>
  <c r="Q119" i="7"/>
  <c r="S119" i="7" s="1"/>
  <c r="Q120" i="7"/>
  <c r="S120" i="7" s="1"/>
  <c r="Q121" i="7"/>
  <c r="S121" i="7" s="1"/>
  <c r="Q122" i="7"/>
  <c r="S122" i="7" s="1"/>
  <c r="Q123" i="7"/>
  <c r="S123" i="7" s="1"/>
  <c r="Q124" i="7"/>
  <c r="S124" i="7" s="1"/>
  <c r="Q125" i="7"/>
  <c r="S125" i="7" s="1"/>
  <c r="Q126" i="7"/>
  <c r="S126" i="7" s="1"/>
  <c r="Q127" i="7"/>
  <c r="S127" i="7" s="1"/>
  <c r="Q128" i="7"/>
  <c r="S128" i="7" s="1"/>
  <c r="Q129" i="7"/>
  <c r="S129" i="7" s="1"/>
  <c r="Q130" i="7"/>
  <c r="S130" i="7" s="1"/>
  <c r="Q131" i="7"/>
  <c r="S131" i="7" s="1"/>
  <c r="Q132" i="7"/>
  <c r="S132" i="7" s="1"/>
  <c r="Q133" i="7"/>
  <c r="S133" i="7" s="1"/>
  <c r="Q134" i="7"/>
  <c r="S134" i="7" s="1"/>
  <c r="Q135" i="7"/>
  <c r="S135" i="7" s="1"/>
  <c r="Q136" i="7"/>
  <c r="S136" i="7" s="1"/>
  <c r="Q137" i="7"/>
  <c r="S137" i="7" s="1"/>
  <c r="Q138" i="7"/>
  <c r="S138" i="7" s="1"/>
  <c r="Q139" i="7"/>
  <c r="S139" i="7" s="1"/>
  <c r="Q140" i="7"/>
  <c r="S140" i="7" s="1"/>
  <c r="Q141" i="7"/>
  <c r="S141" i="7" s="1"/>
  <c r="Q142" i="7"/>
  <c r="S142" i="7" s="1"/>
  <c r="Q143" i="7"/>
  <c r="S143" i="7" s="1"/>
  <c r="Q144" i="7"/>
  <c r="S144" i="7" s="1"/>
  <c r="Q145" i="7"/>
  <c r="S145" i="7" s="1"/>
  <c r="Q146" i="7"/>
  <c r="S146" i="7" s="1"/>
  <c r="Q147" i="7"/>
  <c r="S147" i="7" s="1"/>
  <c r="Q148" i="7"/>
  <c r="S148" i="7" s="1"/>
  <c r="Q149" i="7"/>
  <c r="S149" i="7" s="1"/>
  <c r="Q150" i="7"/>
  <c r="S150" i="7" s="1"/>
  <c r="Q151" i="7"/>
  <c r="S151" i="7" s="1"/>
  <c r="Q152" i="7"/>
  <c r="S152" i="7" s="1"/>
  <c r="Q153" i="7"/>
  <c r="S153" i="7" s="1"/>
  <c r="Q154" i="7"/>
  <c r="S154" i="7" s="1"/>
  <c r="Q155" i="7"/>
  <c r="S155" i="7" s="1"/>
  <c r="Q156" i="7"/>
  <c r="S156" i="7" s="1"/>
  <c r="Q157" i="7"/>
  <c r="S157" i="7" s="1"/>
  <c r="Q158" i="7"/>
  <c r="S158" i="7" s="1"/>
  <c r="Q159" i="7"/>
  <c r="S159" i="7" s="1"/>
  <c r="Q160" i="7"/>
  <c r="S160" i="7" s="1"/>
  <c r="Q161" i="7"/>
  <c r="S161" i="7" s="1"/>
  <c r="Q162" i="7"/>
  <c r="S162" i="7" s="1"/>
  <c r="Q163" i="7"/>
  <c r="S163" i="7" s="1"/>
  <c r="Q164" i="7"/>
  <c r="S164" i="7" s="1"/>
  <c r="Q165" i="7"/>
  <c r="S165" i="7" s="1"/>
  <c r="Q166" i="7"/>
  <c r="S166" i="7" s="1"/>
  <c r="Q167" i="7"/>
  <c r="S167" i="7" s="1"/>
  <c r="Q168" i="7"/>
  <c r="S168" i="7" s="1"/>
  <c r="Q169" i="7"/>
  <c r="S169" i="7" s="1"/>
  <c r="Q170" i="7"/>
  <c r="S170" i="7" s="1"/>
  <c r="Q171" i="7"/>
  <c r="S171" i="7" s="1"/>
  <c r="Q172" i="7"/>
  <c r="S172" i="7" s="1"/>
  <c r="Q173" i="7"/>
  <c r="S173" i="7" s="1"/>
  <c r="Q174" i="7"/>
  <c r="S174" i="7" s="1"/>
  <c r="Q175" i="7"/>
  <c r="S175" i="7" s="1"/>
  <c r="Q176" i="7"/>
  <c r="S176" i="7" s="1"/>
  <c r="Q177" i="7"/>
  <c r="S177" i="7" s="1"/>
  <c r="Q178" i="7"/>
  <c r="S178" i="7" s="1"/>
  <c r="Q179" i="7"/>
  <c r="S179" i="7" s="1"/>
  <c r="Q180" i="7"/>
  <c r="S180" i="7" s="1"/>
  <c r="Q181" i="7"/>
  <c r="S181" i="7" s="1"/>
  <c r="Q182" i="7"/>
  <c r="S182" i="7" s="1"/>
  <c r="Q183" i="7"/>
  <c r="S183" i="7" s="1"/>
  <c r="Q184" i="7"/>
  <c r="S184" i="7" s="1"/>
  <c r="Q185" i="7"/>
  <c r="S185" i="7" s="1"/>
  <c r="Q186" i="7"/>
  <c r="S186" i="7" s="1"/>
  <c r="Q187" i="7"/>
  <c r="S187" i="7" s="1"/>
  <c r="Q188" i="7"/>
  <c r="S188" i="7" s="1"/>
  <c r="Q189" i="7"/>
  <c r="S189" i="7" s="1"/>
  <c r="Q190" i="7"/>
  <c r="S190" i="7" s="1"/>
  <c r="Q191" i="7"/>
  <c r="S191" i="7" s="1"/>
  <c r="Q192" i="7"/>
  <c r="S192" i="7" s="1"/>
  <c r="Q193" i="7"/>
  <c r="S193" i="7" s="1"/>
  <c r="Q194" i="7"/>
  <c r="S194" i="7" s="1"/>
  <c r="Q195" i="7"/>
  <c r="S195" i="7" s="1"/>
  <c r="Q196" i="7"/>
  <c r="S196" i="7" s="1"/>
  <c r="Q197" i="7"/>
  <c r="S197" i="7" s="1"/>
  <c r="Q198" i="7"/>
  <c r="S198" i="7" s="1"/>
  <c r="Q199" i="7"/>
  <c r="S199" i="7" s="1"/>
  <c r="Q200" i="7"/>
  <c r="S200" i="7" s="1"/>
  <c r="Q201" i="7"/>
  <c r="S201" i="7" s="1"/>
  <c r="Q202" i="7"/>
  <c r="S202" i="7" s="1"/>
  <c r="Q203" i="7"/>
  <c r="S203" i="7" s="1"/>
  <c r="Q204" i="7"/>
  <c r="S204" i="7" s="1"/>
  <c r="Q205" i="7"/>
  <c r="S205" i="7" s="1"/>
  <c r="Q206" i="7"/>
  <c r="S206" i="7" s="1"/>
  <c r="Q207" i="7"/>
  <c r="S207" i="7" s="1"/>
  <c r="Q208" i="7"/>
  <c r="S208" i="7" s="1"/>
  <c r="Q209" i="7"/>
  <c r="S209" i="7" s="1"/>
  <c r="Q210" i="7"/>
  <c r="S210" i="7" s="1"/>
  <c r="Q211" i="7"/>
  <c r="S211" i="7" s="1"/>
  <c r="Q212" i="7"/>
  <c r="S212" i="7" s="1"/>
  <c r="Q213" i="7"/>
  <c r="S213" i="7" s="1"/>
  <c r="Q214" i="7"/>
  <c r="S214" i="7" s="1"/>
  <c r="Q215" i="7"/>
  <c r="S215" i="7" s="1"/>
  <c r="Q216" i="7"/>
  <c r="S216" i="7" s="1"/>
  <c r="Q217" i="7"/>
  <c r="S217" i="7" s="1"/>
  <c r="Q218" i="7"/>
  <c r="S218" i="7" s="1"/>
  <c r="Q219" i="7"/>
  <c r="S219" i="7" s="1"/>
  <c r="Q220" i="7"/>
  <c r="S220" i="7" s="1"/>
  <c r="Q221" i="7"/>
  <c r="S221" i="7" s="1"/>
  <c r="Q222" i="7"/>
  <c r="S222" i="7" s="1"/>
  <c r="Q223" i="7"/>
  <c r="S223" i="7" s="1"/>
  <c r="Q224" i="7"/>
  <c r="S224" i="7" s="1"/>
  <c r="Q225" i="7"/>
  <c r="S225" i="7" s="1"/>
  <c r="Q226" i="7"/>
  <c r="S226" i="7" s="1"/>
  <c r="Q227" i="7"/>
  <c r="S227" i="7" s="1"/>
  <c r="Q228" i="7"/>
  <c r="S228" i="7" s="1"/>
  <c r="Q229" i="7"/>
  <c r="S229" i="7" s="1"/>
  <c r="Q230" i="7"/>
  <c r="S230" i="7" s="1"/>
  <c r="Q231" i="7"/>
  <c r="S231" i="7" s="1"/>
  <c r="Q232" i="7"/>
  <c r="S232" i="7" s="1"/>
  <c r="Q233" i="7"/>
  <c r="S233" i="7" s="1"/>
  <c r="Q234" i="7"/>
  <c r="S234" i="7" s="1"/>
  <c r="Q235" i="7"/>
  <c r="S235" i="7" s="1"/>
  <c r="Q236" i="7"/>
  <c r="S236" i="7" s="1"/>
  <c r="Q237" i="7"/>
  <c r="S237" i="7" s="1"/>
  <c r="Q238" i="7"/>
  <c r="S238" i="7" s="1"/>
  <c r="Q239" i="7"/>
  <c r="S239" i="7" s="1"/>
  <c r="Q240" i="7"/>
  <c r="S240" i="7" s="1"/>
  <c r="Q241" i="7"/>
  <c r="S241" i="7" s="1"/>
  <c r="Q242" i="7"/>
  <c r="S242" i="7" s="1"/>
  <c r="Q243" i="7"/>
  <c r="S243" i="7" s="1"/>
  <c r="Q244" i="7"/>
  <c r="S244" i="7" s="1"/>
  <c r="Q245" i="7"/>
  <c r="S245" i="7" s="1"/>
  <c r="Q246" i="7"/>
  <c r="S246" i="7" s="1"/>
  <c r="Q247" i="7"/>
  <c r="S247" i="7" s="1"/>
  <c r="Q248" i="7"/>
  <c r="S248" i="7" s="1"/>
  <c r="Q249" i="7"/>
  <c r="S249" i="7" s="1"/>
  <c r="Q250" i="7"/>
  <c r="S250" i="7" s="1"/>
  <c r="Q251" i="7"/>
  <c r="S251" i="7" s="1"/>
  <c r="Q252" i="7"/>
  <c r="S252" i="7" s="1"/>
  <c r="Q253" i="7"/>
  <c r="S253" i="7" s="1"/>
  <c r="Q254" i="7"/>
  <c r="S254" i="7" s="1"/>
  <c r="Q255" i="7"/>
  <c r="S255" i="7" s="1"/>
  <c r="Q256" i="7"/>
  <c r="S256" i="7" s="1"/>
  <c r="Q257" i="7"/>
  <c r="S257" i="7" s="1"/>
  <c r="Q258" i="7"/>
  <c r="S258" i="7" s="1"/>
  <c r="Q259" i="7"/>
  <c r="S259" i="7" s="1"/>
  <c r="Q260" i="7"/>
  <c r="S260" i="7" s="1"/>
  <c r="Q261" i="7"/>
  <c r="S261" i="7" s="1"/>
  <c r="Q262" i="7"/>
  <c r="S262" i="7" s="1"/>
  <c r="Q263" i="7"/>
  <c r="S263" i="7" s="1"/>
  <c r="Q264" i="7"/>
  <c r="S264" i="7" s="1"/>
  <c r="Q265" i="7"/>
  <c r="S265" i="7" s="1"/>
  <c r="Q266" i="7"/>
  <c r="S266" i="7" s="1"/>
  <c r="Q267" i="7"/>
  <c r="S267" i="7" s="1"/>
  <c r="Q268" i="7"/>
  <c r="S268" i="7" s="1"/>
  <c r="Q269" i="7"/>
  <c r="S269" i="7" s="1"/>
  <c r="Q270" i="7"/>
  <c r="S270" i="7" s="1"/>
  <c r="Q271" i="7"/>
  <c r="S271" i="7" s="1"/>
  <c r="Q272" i="7"/>
  <c r="S272" i="7" s="1"/>
  <c r="Q273" i="7"/>
  <c r="S273" i="7" s="1"/>
  <c r="Q274" i="7"/>
  <c r="S274" i="7" s="1"/>
  <c r="Q275" i="7"/>
  <c r="S275" i="7" s="1"/>
  <c r="Q276" i="7"/>
  <c r="S276" i="7" s="1"/>
  <c r="Q277" i="7"/>
  <c r="S277" i="7" s="1"/>
  <c r="Q278" i="7"/>
  <c r="S278" i="7" s="1"/>
  <c r="Q279" i="7"/>
  <c r="S279" i="7" s="1"/>
  <c r="Q280" i="7"/>
  <c r="S280" i="7" s="1"/>
  <c r="Q281" i="7"/>
  <c r="S281" i="7" s="1"/>
  <c r="Q282" i="7"/>
  <c r="S282" i="7" s="1"/>
  <c r="Q283" i="7"/>
  <c r="S283" i="7" s="1"/>
  <c r="Q284" i="7"/>
  <c r="S284" i="7" s="1"/>
  <c r="Q285" i="7"/>
  <c r="S285" i="7" s="1"/>
  <c r="Q286" i="7"/>
  <c r="S286" i="7" s="1"/>
  <c r="Q287" i="7"/>
  <c r="S287" i="7" s="1"/>
  <c r="Q288" i="7"/>
  <c r="S288" i="7" s="1"/>
  <c r="Q289" i="7"/>
  <c r="S289" i="7" s="1"/>
  <c r="Q290" i="7"/>
  <c r="S290" i="7" s="1"/>
  <c r="Q291" i="7"/>
  <c r="S291" i="7" s="1"/>
  <c r="Q292" i="7"/>
  <c r="S292" i="7" s="1"/>
  <c r="Q293" i="7"/>
  <c r="S293" i="7" s="1"/>
  <c r="Q294" i="7"/>
  <c r="S294" i="7" s="1"/>
  <c r="Q295" i="7"/>
  <c r="S295" i="7" s="1"/>
  <c r="Q296" i="7"/>
  <c r="S296" i="7" s="1"/>
  <c r="Q297" i="7"/>
  <c r="S297" i="7" s="1"/>
  <c r="Q298" i="7"/>
  <c r="S298" i="7" s="1"/>
  <c r="Q299" i="7"/>
  <c r="S299" i="7" s="1"/>
  <c r="Q300" i="7"/>
  <c r="S300" i="7" s="1"/>
  <c r="Q301" i="7"/>
  <c r="S301" i="7" s="1"/>
  <c r="Q302" i="7"/>
  <c r="S302" i="7" s="1"/>
  <c r="Q303" i="7"/>
  <c r="S303" i="7" s="1"/>
  <c r="Q304" i="7"/>
  <c r="S304" i="7" s="1"/>
  <c r="Q305" i="7"/>
  <c r="S305" i="7" s="1"/>
  <c r="Q306" i="7"/>
  <c r="S306" i="7" s="1"/>
  <c r="Q307" i="7"/>
  <c r="S307" i="7" s="1"/>
  <c r="Q308" i="7"/>
  <c r="S308" i="7" s="1"/>
  <c r="Q309" i="7"/>
  <c r="S309" i="7" s="1"/>
  <c r="Q310" i="7"/>
  <c r="S310" i="7" s="1"/>
  <c r="Q311" i="7"/>
  <c r="S311" i="7" s="1"/>
  <c r="Q312" i="7"/>
  <c r="S312" i="7" s="1"/>
  <c r="Q313" i="7"/>
  <c r="S313" i="7" s="1"/>
  <c r="Q314" i="7"/>
  <c r="S314" i="7" s="1"/>
  <c r="Q315" i="7"/>
  <c r="S315" i="7" s="1"/>
  <c r="Q316" i="7"/>
  <c r="S316" i="7" s="1"/>
  <c r="Q317" i="7"/>
  <c r="S317" i="7" s="1"/>
  <c r="Q318" i="7"/>
  <c r="S318" i="7" s="1"/>
  <c r="Q319" i="7"/>
  <c r="S319" i="7" s="1"/>
  <c r="Q320" i="7"/>
  <c r="S320" i="7" s="1"/>
  <c r="Q321" i="7"/>
  <c r="S321" i="7" s="1"/>
  <c r="Q322" i="7"/>
  <c r="S322" i="7" s="1"/>
  <c r="Q323" i="7"/>
  <c r="S323" i="7" s="1"/>
  <c r="Q324" i="7"/>
  <c r="S324" i="7" s="1"/>
  <c r="Q325" i="7"/>
  <c r="S325" i="7" s="1"/>
  <c r="Q326" i="7"/>
  <c r="S326" i="7" s="1"/>
  <c r="Q327" i="7"/>
  <c r="S327" i="7" s="1"/>
  <c r="Q328" i="7"/>
  <c r="S328" i="7" s="1"/>
  <c r="Q329" i="7"/>
  <c r="S329" i="7" s="1"/>
  <c r="Q330" i="7"/>
  <c r="S330" i="7" s="1"/>
  <c r="Q331" i="7"/>
  <c r="S331" i="7" s="1"/>
  <c r="Q332" i="7"/>
  <c r="S332" i="7" s="1"/>
  <c r="Q333" i="7"/>
  <c r="S333" i="7" s="1"/>
  <c r="Q334" i="7"/>
  <c r="S334" i="7" s="1"/>
  <c r="Q335" i="7"/>
  <c r="S335" i="7" s="1"/>
  <c r="Q336" i="7"/>
  <c r="S336" i="7" s="1"/>
  <c r="Q337" i="7"/>
  <c r="S337" i="7" s="1"/>
  <c r="Q338" i="7"/>
  <c r="S338" i="7" s="1"/>
  <c r="Q339" i="7"/>
  <c r="S339" i="7" s="1"/>
  <c r="Q340" i="7"/>
  <c r="S340" i="7" s="1"/>
  <c r="Q341" i="7"/>
  <c r="S341" i="7" s="1"/>
  <c r="Q342" i="7"/>
  <c r="S342" i="7" s="1"/>
  <c r="Q343" i="7"/>
  <c r="S343" i="7" s="1"/>
  <c r="Q344" i="7"/>
  <c r="S344" i="7" s="1"/>
  <c r="Q345" i="7"/>
  <c r="S345" i="7" s="1"/>
  <c r="Q346" i="7"/>
  <c r="S346" i="7" s="1"/>
  <c r="Q347" i="7"/>
  <c r="S347" i="7" s="1"/>
  <c r="Q348" i="7"/>
  <c r="S348" i="7" s="1"/>
  <c r="Q349" i="7"/>
  <c r="S349" i="7" s="1"/>
  <c r="Q350" i="7"/>
  <c r="S350" i="7" s="1"/>
  <c r="Q351" i="7"/>
  <c r="S351" i="7" s="1"/>
  <c r="Q352" i="7"/>
  <c r="S352" i="7" s="1"/>
  <c r="Q353" i="7"/>
  <c r="S353" i="7" s="1"/>
  <c r="Q354" i="7"/>
  <c r="S354" i="7" s="1"/>
  <c r="Q355" i="7"/>
  <c r="S355" i="7" s="1"/>
  <c r="Q356" i="7"/>
  <c r="S356" i="7" s="1"/>
  <c r="Q357" i="7"/>
  <c r="S357" i="7" s="1"/>
  <c r="Q358" i="7"/>
  <c r="S358" i="7" s="1"/>
  <c r="Q359" i="7"/>
  <c r="S359" i="7" s="1"/>
  <c r="Q360" i="7"/>
  <c r="S360" i="7" s="1"/>
  <c r="Q361" i="7"/>
  <c r="S361" i="7" s="1"/>
  <c r="Q362" i="7"/>
  <c r="S362" i="7" s="1"/>
  <c r="Q363" i="7"/>
  <c r="S363" i="7" s="1"/>
  <c r="Q364" i="7"/>
  <c r="S364" i="7" s="1"/>
  <c r="Q365" i="7"/>
  <c r="S365" i="7" s="1"/>
  <c r="Q366" i="7"/>
  <c r="S366" i="7" s="1"/>
  <c r="Q367" i="7"/>
  <c r="S367" i="7" s="1"/>
  <c r="Q368" i="7"/>
  <c r="S368" i="7" s="1"/>
  <c r="Q369" i="7"/>
  <c r="S369" i="7" s="1"/>
  <c r="Q370" i="7"/>
  <c r="S370" i="7" s="1"/>
  <c r="Q371" i="7"/>
  <c r="S371" i="7" s="1"/>
  <c r="Q372" i="7"/>
  <c r="S372" i="7" s="1"/>
  <c r="Q373" i="7"/>
  <c r="S373" i="7" s="1"/>
  <c r="Q374" i="7"/>
  <c r="S374" i="7" s="1"/>
  <c r="Q375" i="7"/>
  <c r="S375" i="7" s="1"/>
  <c r="Q376" i="7"/>
  <c r="S376" i="7" s="1"/>
  <c r="Q377" i="7"/>
  <c r="S377" i="7" s="1"/>
  <c r="Q378" i="7"/>
  <c r="S378" i="7" s="1"/>
  <c r="Q379" i="7"/>
  <c r="S379" i="7" s="1"/>
  <c r="Q380" i="7"/>
  <c r="S380" i="7" s="1"/>
  <c r="Q381" i="7"/>
  <c r="S381" i="7" s="1"/>
  <c r="Q382" i="7"/>
  <c r="S382" i="7" s="1"/>
  <c r="Q383" i="7"/>
  <c r="S383" i="7" s="1"/>
  <c r="Q384" i="7"/>
  <c r="S384" i="7" s="1"/>
  <c r="Q385" i="7"/>
  <c r="S385" i="7" s="1"/>
  <c r="Q386" i="7"/>
  <c r="S386" i="7" s="1"/>
  <c r="Q387" i="7"/>
  <c r="S387" i="7" s="1"/>
  <c r="Q388" i="7"/>
  <c r="S388" i="7" s="1"/>
  <c r="Q389" i="7"/>
  <c r="S389" i="7" s="1"/>
  <c r="Q390" i="7"/>
  <c r="S390" i="7" s="1"/>
  <c r="Q391" i="7"/>
  <c r="S391" i="7" s="1"/>
  <c r="Q392" i="7"/>
  <c r="S392" i="7" s="1"/>
  <c r="Q393" i="7"/>
  <c r="S393" i="7" s="1"/>
  <c r="Q394" i="7"/>
  <c r="S394" i="7" s="1"/>
  <c r="Q395" i="7"/>
  <c r="S395" i="7" s="1"/>
  <c r="Q396" i="7"/>
  <c r="S396" i="7" s="1"/>
  <c r="Q397" i="7"/>
  <c r="S397" i="7" s="1"/>
  <c r="Q398" i="7"/>
  <c r="S398" i="7" s="1"/>
  <c r="Q399" i="7"/>
  <c r="S399" i="7" s="1"/>
  <c r="Q400" i="7"/>
  <c r="S400" i="7" s="1"/>
  <c r="Q401" i="7"/>
  <c r="S401" i="7" s="1"/>
  <c r="Q402" i="7"/>
  <c r="S402" i="7" s="1"/>
  <c r="Q403" i="7"/>
  <c r="S403" i="7" s="1"/>
  <c r="Q404" i="7"/>
  <c r="S404" i="7" s="1"/>
  <c r="Q405" i="7"/>
  <c r="S405" i="7" s="1"/>
  <c r="Q406" i="7"/>
  <c r="S406" i="7" s="1"/>
  <c r="Q407" i="7"/>
  <c r="S407" i="7" s="1"/>
  <c r="Q408" i="7"/>
  <c r="S408" i="7" s="1"/>
  <c r="Q409" i="7"/>
  <c r="S409" i="7" s="1"/>
  <c r="Q410" i="7"/>
  <c r="S410" i="7" s="1"/>
  <c r="Q411" i="7"/>
  <c r="S411" i="7" s="1"/>
  <c r="Q412" i="7"/>
  <c r="S412" i="7" s="1"/>
  <c r="Q413" i="7"/>
  <c r="S413" i="7" s="1"/>
  <c r="Q414" i="7"/>
  <c r="S414" i="7" s="1"/>
  <c r="Q415" i="7"/>
  <c r="S415" i="7" s="1"/>
  <c r="Q416" i="7"/>
  <c r="S416" i="7" s="1"/>
  <c r="Q417" i="7"/>
  <c r="S417" i="7" s="1"/>
  <c r="Q418" i="7"/>
  <c r="S418" i="7" s="1"/>
  <c r="Q419" i="7"/>
  <c r="S419" i="7" s="1"/>
  <c r="Q420" i="7"/>
  <c r="S420" i="7" s="1"/>
  <c r="Q421" i="7"/>
  <c r="S421" i="7" s="1"/>
  <c r="Q422" i="7"/>
  <c r="S422" i="7" s="1"/>
  <c r="Q423" i="7"/>
  <c r="S423" i="7" s="1"/>
  <c r="Q424" i="7"/>
  <c r="S424" i="7" s="1"/>
  <c r="Q425" i="7"/>
  <c r="S425" i="7" s="1"/>
  <c r="Q426" i="7"/>
  <c r="S426" i="7" s="1"/>
  <c r="Q427" i="7"/>
  <c r="S427" i="7" s="1"/>
  <c r="Q428" i="7"/>
  <c r="S428" i="7" s="1"/>
  <c r="Q429" i="7"/>
  <c r="S429" i="7" s="1"/>
  <c r="Q430" i="7"/>
  <c r="S430" i="7" s="1"/>
  <c r="Q431" i="7"/>
  <c r="S431" i="7" s="1"/>
  <c r="Q432" i="7"/>
  <c r="S432" i="7" s="1"/>
  <c r="Q433" i="7"/>
  <c r="S433" i="7" s="1"/>
  <c r="Q434" i="7"/>
  <c r="S434" i="7" s="1"/>
  <c r="Q435" i="7"/>
  <c r="S435" i="7" s="1"/>
  <c r="Q436" i="7"/>
  <c r="S436" i="7" s="1"/>
  <c r="Q437" i="7"/>
  <c r="S437" i="7" s="1"/>
  <c r="Q438" i="7"/>
  <c r="S438" i="7" s="1"/>
  <c r="Q439" i="7"/>
  <c r="S439" i="7" s="1"/>
  <c r="Q440" i="7"/>
  <c r="S440" i="7" s="1"/>
  <c r="Q441" i="7"/>
  <c r="S441" i="7" s="1"/>
  <c r="Q442" i="7"/>
  <c r="S442" i="7" s="1"/>
  <c r="Q443" i="7"/>
  <c r="S443" i="7" s="1"/>
  <c r="Q444" i="7"/>
  <c r="S444" i="7" s="1"/>
  <c r="Q445" i="7"/>
  <c r="S445" i="7" s="1"/>
  <c r="Q446" i="7"/>
  <c r="S446" i="7" s="1"/>
  <c r="Q447" i="7"/>
  <c r="S447" i="7" s="1"/>
  <c r="Q448" i="7"/>
  <c r="S448" i="7" s="1"/>
  <c r="Q449" i="7"/>
  <c r="S449" i="7" s="1"/>
  <c r="Q450" i="7"/>
  <c r="S450" i="7" s="1"/>
  <c r="Q451" i="7"/>
  <c r="S451" i="7" s="1"/>
  <c r="Q452" i="7"/>
  <c r="S452" i="7" s="1"/>
  <c r="Q453" i="7"/>
  <c r="S453" i="7" s="1"/>
  <c r="Q454" i="7"/>
  <c r="S454" i="7" s="1"/>
  <c r="Q455" i="7"/>
  <c r="S455" i="7" s="1"/>
  <c r="Q456" i="7"/>
  <c r="S456" i="7" s="1"/>
  <c r="Q457" i="7"/>
  <c r="S457" i="7" s="1"/>
  <c r="Q458" i="7"/>
  <c r="S458" i="7" s="1"/>
  <c r="Q459" i="7"/>
  <c r="S459" i="7" s="1"/>
  <c r="Q460" i="7"/>
  <c r="S460" i="7" s="1"/>
  <c r="Q461" i="7"/>
  <c r="S461" i="7" s="1"/>
  <c r="Q462" i="7"/>
  <c r="S462" i="7" s="1"/>
  <c r="Q463" i="7"/>
  <c r="S463" i="7" s="1"/>
  <c r="Q464" i="7"/>
  <c r="S464" i="7" s="1"/>
  <c r="Q465" i="7"/>
  <c r="S465" i="7" s="1"/>
  <c r="Q466" i="7"/>
  <c r="S466" i="7" s="1"/>
  <c r="Q467" i="7"/>
  <c r="S467" i="7" s="1"/>
  <c r="Q468" i="7"/>
  <c r="S468" i="7" s="1"/>
  <c r="Q469" i="7"/>
  <c r="S469" i="7" s="1"/>
  <c r="Q470" i="7"/>
  <c r="S470" i="7" s="1"/>
  <c r="Q471" i="7"/>
  <c r="S471" i="7" s="1"/>
  <c r="Q472" i="7"/>
  <c r="S472" i="7" s="1"/>
  <c r="Q473" i="7"/>
  <c r="S473" i="7" s="1"/>
  <c r="Q474" i="7"/>
  <c r="S474" i="7" s="1"/>
  <c r="Q475" i="7"/>
  <c r="S475" i="7" s="1"/>
  <c r="Q476" i="7"/>
  <c r="S476" i="7" s="1"/>
  <c r="Q477" i="7"/>
  <c r="S477" i="7" s="1"/>
  <c r="Q478" i="7"/>
  <c r="S478" i="7" s="1"/>
  <c r="Q479" i="7"/>
  <c r="S479" i="7" s="1"/>
  <c r="Q480" i="7"/>
  <c r="S480" i="7" s="1"/>
  <c r="Q481" i="7"/>
  <c r="S481" i="7" s="1"/>
  <c r="Q482" i="7"/>
  <c r="S482" i="7" s="1"/>
  <c r="Q483" i="7"/>
  <c r="S483" i="7" s="1"/>
  <c r="Q484" i="7"/>
  <c r="S484" i="7" s="1"/>
  <c r="Q485" i="7"/>
  <c r="S485" i="7" s="1"/>
  <c r="Q486" i="7"/>
  <c r="S486" i="7" s="1"/>
  <c r="Q487" i="7"/>
  <c r="S487" i="7" s="1"/>
  <c r="Q488" i="7"/>
  <c r="S488" i="7" s="1"/>
  <c r="Q489" i="7"/>
  <c r="S489" i="7" s="1"/>
  <c r="Q490" i="7"/>
  <c r="S490" i="7" s="1"/>
  <c r="Q491" i="7"/>
  <c r="S491" i="7" s="1"/>
  <c r="Q492" i="7"/>
  <c r="S492" i="7" s="1"/>
  <c r="Q493" i="7"/>
  <c r="S493" i="7" s="1"/>
  <c r="Q494" i="7"/>
  <c r="S494" i="7" s="1"/>
  <c r="Q495" i="7"/>
  <c r="S495" i="7" s="1"/>
  <c r="Q496" i="7"/>
  <c r="S496" i="7" s="1"/>
  <c r="Q497" i="7"/>
  <c r="S497" i="7" s="1"/>
  <c r="Q498" i="7"/>
  <c r="S498" i="7" s="1"/>
  <c r="Q499" i="7"/>
  <c r="S499" i="7" s="1"/>
  <c r="Q500" i="7"/>
  <c r="S500" i="7" s="1"/>
  <c r="Q501" i="7"/>
  <c r="S501" i="7" s="1"/>
  <c r="Q502" i="7"/>
  <c r="S502" i="7" s="1"/>
  <c r="Q503" i="7"/>
  <c r="S503" i="7" s="1"/>
  <c r="Q504" i="7"/>
  <c r="S504" i="7" s="1"/>
  <c r="Q505" i="7"/>
  <c r="S505" i="7" s="1"/>
  <c r="Q506" i="7"/>
  <c r="S506" i="7" s="1"/>
  <c r="Q507" i="7"/>
  <c r="S507" i="7" s="1"/>
  <c r="Q508" i="7"/>
  <c r="S508" i="7" s="1"/>
  <c r="Q509" i="7"/>
  <c r="S509" i="7" s="1"/>
  <c r="Q510" i="7"/>
  <c r="S510" i="7" s="1"/>
  <c r="Q511" i="7"/>
  <c r="S511" i="7" s="1"/>
  <c r="Q512" i="7"/>
  <c r="S512" i="7" s="1"/>
  <c r="Q513" i="7"/>
  <c r="S513" i="7" s="1"/>
  <c r="Q514" i="7"/>
  <c r="S514" i="7" s="1"/>
  <c r="Q515" i="7"/>
  <c r="S515" i="7" s="1"/>
  <c r="Q516" i="7"/>
  <c r="S516" i="7" s="1"/>
  <c r="Q517" i="7"/>
  <c r="S517" i="7" s="1"/>
  <c r="Q518" i="7"/>
  <c r="S518" i="7" s="1"/>
  <c r="Q519" i="7"/>
  <c r="S519" i="7" s="1"/>
  <c r="Q520" i="7"/>
  <c r="S520" i="7" s="1"/>
  <c r="Q521" i="7"/>
  <c r="S521" i="7" s="1"/>
  <c r="Q522" i="7"/>
  <c r="S522" i="7" s="1"/>
  <c r="Q523" i="7"/>
  <c r="S523" i="7" s="1"/>
  <c r="Q524" i="7"/>
  <c r="S524" i="7" s="1"/>
  <c r="Q525" i="7"/>
  <c r="S525" i="7" s="1"/>
  <c r="Q526" i="7"/>
  <c r="S526" i="7" s="1"/>
  <c r="Q527" i="7"/>
  <c r="S527" i="7" s="1"/>
  <c r="Q528" i="7"/>
  <c r="S528" i="7" s="1"/>
  <c r="Q529" i="7"/>
  <c r="S529" i="7" s="1"/>
  <c r="Q530" i="7"/>
  <c r="S530" i="7" s="1"/>
  <c r="Q531" i="7"/>
  <c r="S531" i="7" s="1"/>
  <c r="Q532" i="7"/>
  <c r="S532" i="7" s="1"/>
  <c r="Q533" i="7"/>
  <c r="S533" i="7" s="1"/>
  <c r="Q534" i="7"/>
  <c r="S534" i="7" s="1"/>
  <c r="Q535" i="7"/>
  <c r="S535" i="7" s="1"/>
  <c r="Q536" i="7"/>
  <c r="S536" i="7" s="1"/>
  <c r="Q537" i="7"/>
  <c r="S537" i="7" s="1"/>
  <c r="Q538" i="7"/>
  <c r="S538" i="7" s="1"/>
  <c r="Q539" i="7"/>
  <c r="S539" i="7" s="1"/>
  <c r="Q540" i="7"/>
  <c r="S540" i="7" s="1"/>
  <c r="Q541" i="7"/>
  <c r="S541" i="7" s="1"/>
  <c r="Q542" i="7"/>
  <c r="S542" i="7" s="1"/>
  <c r="Q543" i="7"/>
  <c r="S543" i="7" s="1"/>
  <c r="Q544" i="7"/>
  <c r="S544" i="7" s="1"/>
  <c r="Q545" i="7"/>
  <c r="S545" i="7" s="1"/>
  <c r="Q546" i="7"/>
  <c r="S546" i="7" s="1"/>
  <c r="Q547" i="7"/>
  <c r="S547" i="7" s="1"/>
  <c r="Q548" i="7"/>
  <c r="S548" i="7" s="1"/>
  <c r="Q549" i="7"/>
  <c r="S549" i="7" s="1"/>
  <c r="Q550" i="7"/>
  <c r="S550" i="7" s="1"/>
  <c r="Q551" i="7"/>
  <c r="S551" i="7" s="1"/>
  <c r="Q552" i="7"/>
  <c r="S552" i="7" s="1"/>
  <c r="Q553" i="7"/>
  <c r="S553" i="7" s="1"/>
  <c r="Q554" i="7"/>
  <c r="S554" i="7" s="1"/>
  <c r="Q555" i="7"/>
  <c r="S555" i="7" s="1"/>
  <c r="Q556" i="7"/>
  <c r="S556" i="7" s="1"/>
  <c r="Q557" i="7"/>
  <c r="S557" i="7" s="1"/>
  <c r="Q558" i="7"/>
  <c r="S558" i="7" s="1"/>
  <c r="Q559" i="7"/>
  <c r="S559" i="7" s="1"/>
  <c r="Q560" i="7"/>
  <c r="S560" i="7" s="1"/>
  <c r="Q561" i="7"/>
  <c r="S561" i="7" s="1"/>
  <c r="Q562" i="7"/>
  <c r="S562" i="7" s="1"/>
  <c r="Q563" i="7"/>
  <c r="S563" i="7" s="1"/>
  <c r="Q564" i="7"/>
  <c r="S564" i="7" s="1"/>
  <c r="Q565" i="7"/>
  <c r="S565" i="7" s="1"/>
  <c r="Q566" i="7"/>
  <c r="S566" i="7" s="1"/>
  <c r="Q567" i="7"/>
  <c r="S567" i="7" s="1"/>
  <c r="Q568" i="7"/>
  <c r="S568" i="7" s="1"/>
  <c r="Q569" i="7"/>
  <c r="S569" i="7" s="1"/>
  <c r="Q570" i="7"/>
  <c r="S570" i="7" s="1"/>
  <c r="Q571" i="7"/>
  <c r="S571" i="7" s="1"/>
  <c r="Q572" i="7"/>
  <c r="S572" i="7" s="1"/>
  <c r="Q573" i="7"/>
  <c r="S573" i="7" s="1"/>
  <c r="Q574" i="7"/>
  <c r="S574" i="7" s="1"/>
  <c r="Q575" i="7"/>
  <c r="S575" i="7" s="1"/>
  <c r="Q576" i="7"/>
  <c r="S576" i="7" s="1"/>
  <c r="Q577" i="7"/>
  <c r="S577" i="7" s="1"/>
  <c r="Q578" i="7"/>
  <c r="S578" i="7" s="1"/>
  <c r="Q579" i="7"/>
  <c r="S579" i="7" s="1"/>
  <c r="Q580" i="7"/>
  <c r="S580" i="7" s="1"/>
  <c r="Q581" i="7"/>
  <c r="S581" i="7" s="1"/>
  <c r="Q582" i="7"/>
  <c r="S582" i="7" s="1"/>
  <c r="Q583" i="7"/>
  <c r="S583" i="7" s="1"/>
  <c r="Q584" i="7"/>
  <c r="S584" i="7" s="1"/>
  <c r="Q585" i="7"/>
  <c r="S585" i="7" s="1"/>
  <c r="Q586" i="7"/>
  <c r="S586" i="7" s="1"/>
  <c r="Q587" i="7"/>
  <c r="S587" i="7" s="1"/>
  <c r="Q588" i="7"/>
  <c r="S588" i="7" s="1"/>
  <c r="Q589" i="7"/>
  <c r="S589" i="7" s="1"/>
  <c r="Q590" i="7"/>
  <c r="S590" i="7" s="1"/>
  <c r="Q591" i="7"/>
  <c r="S591" i="7" s="1"/>
  <c r="Q592" i="7"/>
  <c r="S592" i="7" s="1"/>
  <c r="Q593" i="7"/>
  <c r="S593" i="7" s="1"/>
  <c r="Q594" i="7"/>
  <c r="S594" i="7" s="1"/>
  <c r="Q595" i="7"/>
  <c r="S595" i="7" s="1"/>
  <c r="Q596" i="7"/>
  <c r="S596" i="7" s="1"/>
  <c r="Q597" i="7"/>
  <c r="S597" i="7" s="1"/>
  <c r="Q598" i="7"/>
  <c r="S598" i="7" s="1"/>
  <c r="Q599" i="7"/>
  <c r="S599" i="7" s="1"/>
  <c r="Q600" i="7"/>
  <c r="S600" i="7" s="1"/>
  <c r="Q601" i="7"/>
  <c r="S601" i="7" s="1"/>
  <c r="Q602" i="7"/>
  <c r="S602" i="7" s="1"/>
  <c r="Q603" i="7"/>
  <c r="S603" i="7" s="1"/>
  <c r="Q604" i="7"/>
  <c r="S604" i="7" s="1"/>
  <c r="Q605" i="7"/>
  <c r="S605" i="7" s="1"/>
  <c r="Q606" i="7"/>
  <c r="S606" i="7" s="1"/>
  <c r="Q607" i="7"/>
  <c r="S607" i="7" s="1"/>
  <c r="Q608" i="7"/>
  <c r="S608" i="7" s="1"/>
  <c r="Q609" i="7"/>
  <c r="S609" i="7" s="1"/>
  <c r="Q610" i="7"/>
  <c r="S610" i="7" s="1"/>
  <c r="Q611" i="7"/>
  <c r="S611" i="7" s="1"/>
  <c r="Q612" i="7"/>
  <c r="S612" i="7" s="1"/>
  <c r="Q613" i="7"/>
  <c r="S613" i="7" s="1"/>
  <c r="Q614" i="7"/>
  <c r="S614" i="7" s="1"/>
  <c r="Q615" i="7"/>
  <c r="S615" i="7" s="1"/>
  <c r="Q616" i="7"/>
  <c r="S616" i="7" s="1"/>
  <c r="Q617" i="7"/>
  <c r="S617" i="7" s="1"/>
  <c r="Q618" i="7"/>
  <c r="S618" i="7" s="1"/>
  <c r="Q619" i="7"/>
  <c r="S619" i="7" s="1"/>
  <c r="Q620" i="7"/>
  <c r="S620" i="7" s="1"/>
  <c r="Q621" i="7"/>
  <c r="S621" i="7" s="1"/>
  <c r="Q622" i="7"/>
  <c r="S622" i="7" s="1"/>
  <c r="Q623" i="7"/>
  <c r="S623" i="7" s="1"/>
  <c r="Q624" i="7"/>
  <c r="S624" i="7" s="1"/>
  <c r="Q625" i="7"/>
  <c r="S625" i="7" s="1"/>
  <c r="Q626" i="7"/>
  <c r="S626" i="7" s="1"/>
  <c r="Q627" i="7"/>
  <c r="S627" i="7" s="1"/>
  <c r="Q628" i="7"/>
  <c r="S628" i="7" s="1"/>
  <c r="Q629" i="7"/>
  <c r="S629" i="7" s="1"/>
  <c r="Q630" i="7"/>
  <c r="S630" i="7" s="1"/>
  <c r="Q631" i="7"/>
  <c r="S631" i="7" s="1"/>
  <c r="Q632" i="7"/>
  <c r="S632" i="7" s="1"/>
  <c r="Q633" i="7"/>
  <c r="S633" i="7" s="1"/>
  <c r="Q634" i="7"/>
  <c r="S634" i="7" s="1"/>
  <c r="Q635" i="7"/>
  <c r="S635" i="7" s="1"/>
  <c r="Q636" i="7"/>
  <c r="S636" i="7" s="1"/>
  <c r="Q637" i="7"/>
  <c r="S637" i="7" s="1"/>
  <c r="Q638" i="7"/>
  <c r="S638" i="7" s="1"/>
  <c r="Q639" i="7"/>
  <c r="S639" i="7" s="1"/>
  <c r="Q640" i="7"/>
  <c r="S640" i="7" s="1"/>
  <c r="Q641" i="7"/>
  <c r="S641" i="7" s="1"/>
  <c r="Q642" i="7"/>
  <c r="S642" i="7" s="1"/>
  <c r="Q643" i="7"/>
  <c r="S643" i="7" s="1"/>
  <c r="Q644" i="7"/>
  <c r="S644" i="7" s="1"/>
  <c r="Q645" i="7"/>
  <c r="S645" i="7" s="1"/>
  <c r="Q646" i="7"/>
  <c r="S646" i="7" s="1"/>
  <c r="Q647" i="7"/>
  <c r="S647" i="7" s="1"/>
  <c r="Q648" i="7"/>
  <c r="S648" i="7" s="1"/>
  <c r="Q649" i="7"/>
  <c r="S649" i="7" s="1"/>
  <c r="Q650" i="7"/>
  <c r="S650" i="7" s="1"/>
  <c r="Q651" i="7"/>
  <c r="S651" i="7" s="1"/>
  <c r="Q652" i="7"/>
  <c r="S652" i="7" s="1"/>
  <c r="Q653" i="7"/>
  <c r="S653" i="7" s="1"/>
  <c r="Q654" i="7"/>
  <c r="S654" i="7" s="1"/>
  <c r="Q655" i="7"/>
  <c r="S655" i="7" s="1"/>
  <c r="Q656" i="7"/>
  <c r="S656" i="7" s="1"/>
  <c r="Q657" i="7"/>
  <c r="S657" i="7" s="1"/>
  <c r="Q658" i="7"/>
  <c r="S658" i="7" s="1"/>
  <c r="Q659" i="7"/>
  <c r="S659" i="7" s="1"/>
  <c r="Q660" i="7"/>
  <c r="S660" i="7" s="1"/>
  <c r="Q661" i="7"/>
  <c r="S661" i="7" s="1"/>
  <c r="Q662" i="7"/>
  <c r="S662" i="7" s="1"/>
  <c r="Q663" i="7"/>
  <c r="S663" i="7" s="1"/>
  <c r="Q664" i="7"/>
  <c r="S664" i="7" s="1"/>
  <c r="Q665" i="7"/>
  <c r="S665" i="7" s="1"/>
  <c r="Q666" i="7"/>
  <c r="S666" i="7" s="1"/>
  <c r="Q667" i="7"/>
  <c r="S667" i="7" s="1"/>
  <c r="Q668" i="7"/>
  <c r="S668" i="7" s="1"/>
  <c r="Q669" i="7"/>
  <c r="S669" i="7" s="1"/>
  <c r="Q670" i="7"/>
  <c r="S670" i="7" s="1"/>
  <c r="Q671" i="7"/>
  <c r="S671" i="7" s="1"/>
  <c r="Q672" i="7"/>
  <c r="S672" i="7" s="1"/>
  <c r="Q673" i="7"/>
  <c r="S673" i="7" s="1"/>
  <c r="Q674" i="7"/>
  <c r="S674" i="7" s="1"/>
  <c r="Q675" i="7"/>
  <c r="S675" i="7" s="1"/>
  <c r="Q676" i="7"/>
  <c r="S676" i="7" s="1"/>
  <c r="Q677" i="7"/>
  <c r="S677" i="7" s="1"/>
  <c r="Q678" i="7"/>
  <c r="S678" i="7" s="1"/>
  <c r="Q679" i="7"/>
  <c r="S679" i="7" s="1"/>
  <c r="Q680" i="7"/>
  <c r="S680" i="7" s="1"/>
  <c r="Q681" i="7"/>
  <c r="S681" i="7" s="1"/>
  <c r="Q682" i="7"/>
  <c r="S682" i="7" s="1"/>
  <c r="Q683" i="7"/>
  <c r="S683" i="7" s="1"/>
  <c r="Q684" i="7"/>
  <c r="S684" i="7" s="1"/>
  <c r="Q685" i="7"/>
  <c r="S685" i="7" s="1"/>
  <c r="Q686" i="7"/>
  <c r="S686" i="7" s="1"/>
  <c r="Q687" i="7"/>
  <c r="S687" i="7" s="1"/>
  <c r="Q688" i="7"/>
  <c r="S688" i="7" s="1"/>
  <c r="Q689" i="7"/>
  <c r="S689" i="7" s="1"/>
  <c r="Q690" i="7"/>
  <c r="S690" i="7" s="1"/>
  <c r="Q691" i="7"/>
  <c r="S691" i="7" s="1"/>
  <c r="Q692" i="7"/>
  <c r="S692" i="7" s="1"/>
  <c r="Q693" i="7"/>
  <c r="S693" i="7" s="1"/>
  <c r="Q694" i="7"/>
  <c r="S694" i="7" s="1"/>
  <c r="Q695" i="7"/>
  <c r="S695" i="7" s="1"/>
  <c r="Q696" i="7"/>
  <c r="S696" i="7" s="1"/>
  <c r="Q697" i="7"/>
  <c r="S697" i="7" s="1"/>
  <c r="Q698" i="7"/>
  <c r="S698" i="7" s="1"/>
  <c r="Q699" i="7"/>
  <c r="S699" i="7" s="1"/>
  <c r="Q700" i="7"/>
  <c r="S700" i="7" s="1"/>
  <c r="Q701" i="7"/>
  <c r="S701" i="7" s="1"/>
  <c r="Q702" i="7"/>
  <c r="S702" i="7" s="1"/>
  <c r="Q703" i="7"/>
  <c r="S703" i="7" s="1"/>
  <c r="Q704" i="7"/>
  <c r="S704" i="7" s="1"/>
  <c r="Q705" i="7"/>
  <c r="S705" i="7" s="1"/>
  <c r="Q706" i="7"/>
  <c r="S706" i="7" s="1"/>
  <c r="Q707" i="7"/>
  <c r="S707" i="7" s="1"/>
  <c r="Q708" i="7"/>
  <c r="S708" i="7" s="1"/>
  <c r="Q709" i="7"/>
  <c r="S709" i="7" s="1"/>
  <c r="Q710" i="7"/>
  <c r="S710" i="7" s="1"/>
  <c r="Q711" i="7"/>
  <c r="S711" i="7" s="1"/>
  <c r="Q712" i="7"/>
  <c r="S712" i="7" s="1"/>
  <c r="Q713" i="7"/>
  <c r="S713" i="7" s="1"/>
  <c r="Q714" i="7"/>
  <c r="S714" i="7" s="1"/>
  <c r="Q715" i="7"/>
  <c r="S715" i="7" s="1"/>
  <c r="Q716" i="7"/>
  <c r="S716" i="7" s="1"/>
  <c r="Q717" i="7"/>
  <c r="S717" i="7" s="1"/>
  <c r="Q718" i="7"/>
  <c r="S718" i="7" s="1"/>
  <c r="Q719" i="7"/>
  <c r="S719" i="7" s="1"/>
  <c r="Q720" i="7"/>
  <c r="S720" i="7" s="1"/>
  <c r="Q721" i="7"/>
  <c r="S721" i="7" s="1"/>
  <c r="Q722" i="7"/>
  <c r="S722" i="7" s="1"/>
  <c r="Q723" i="7"/>
  <c r="S723" i="7" s="1"/>
  <c r="Q724" i="7"/>
  <c r="S724" i="7" s="1"/>
  <c r="Q725" i="7"/>
  <c r="S725" i="7" s="1"/>
  <c r="Q726" i="7"/>
  <c r="S726" i="7" s="1"/>
  <c r="Q727" i="7"/>
  <c r="S727" i="7" s="1"/>
  <c r="Q728" i="7"/>
  <c r="S728" i="7" s="1"/>
  <c r="Q729" i="7"/>
  <c r="S729" i="7" s="1"/>
  <c r="Q730" i="7"/>
  <c r="S730" i="7" s="1"/>
  <c r="Q731" i="7"/>
  <c r="S731" i="7" s="1"/>
  <c r="Q732" i="7"/>
  <c r="S732" i="7" s="1"/>
  <c r="Q733" i="7"/>
  <c r="S733" i="7" s="1"/>
  <c r="Q734" i="7"/>
  <c r="S734" i="7" s="1"/>
  <c r="Q735" i="7"/>
  <c r="S735" i="7" s="1"/>
  <c r="Q736" i="7"/>
  <c r="S736" i="7" s="1"/>
  <c r="Q737" i="7"/>
  <c r="S737" i="7" s="1"/>
  <c r="Q738" i="7"/>
  <c r="S738" i="7" s="1"/>
  <c r="Q739" i="7"/>
  <c r="S739" i="7" s="1"/>
  <c r="Q740" i="7"/>
  <c r="S740" i="7" s="1"/>
  <c r="Q741" i="7"/>
  <c r="S741" i="7" s="1"/>
  <c r="Q742" i="7"/>
  <c r="S742" i="7" s="1"/>
  <c r="Q743" i="7"/>
  <c r="S743" i="7" s="1"/>
  <c r="Q744" i="7"/>
  <c r="S744" i="7" s="1"/>
  <c r="Q745" i="7"/>
  <c r="S745" i="7" s="1"/>
  <c r="Q746" i="7"/>
  <c r="S746" i="7" s="1"/>
  <c r="Q747" i="7"/>
  <c r="S747" i="7" s="1"/>
  <c r="Q748" i="7"/>
  <c r="S748" i="7" s="1"/>
  <c r="Q749" i="7"/>
  <c r="S749" i="7" s="1"/>
  <c r="Q750" i="7"/>
  <c r="S750" i="7" s="1"/>
  <c r="Q751" i="7"/>
  <c r="S751" i="7" s="1"/>
  <c r="Q752" i="7"/>
  <c r="S752" i="7" s="1"/>
  <c r="Q753" i="7"/>
  <c r="S753" i="7" s="1"/>
  <c r="Q754" i="7"/>
  <c r="S754" i="7" s="1"/>
  <c r="Q755" i="7"/>
  <c r="S755" i="7" s="1"/>
  <c r="Q756" i="7"/>
  <c r="S756" i="7" s="1"/>
  <c r="Q757" i="7"/>
  <c r="S757" i="7" s="1"/>
  <c r="Q758" i="7"/>
  <c r="S758" i="7" s="1"/>
  <c r="Q759" i="7"/>
  <c r="S759" i="7" s="1"/>
  <c r="Q760" i="7"/>
  <c r="S760" i="7" s="1"/>
  <c r="Q761" i="7"/>
  <c r="S761" i="7" s="1"/>
  <c r="Q762" i="7"/>
  <c r="S762" i="7" s="1"/>
  <c r="Q763" i="7"/>
  <c r="S763" i="7" s="1"/>
  <c r="Q764" i="7"/>
  <c r="S764" i="7" s="1"/>
  <c r="Q765" i="7"/>
  <c r="S765" i="7" s="1"/>
  <c r="Q766" i="7"/>
  <c r="S766" i="7" s="1"/>
  <c r="Q767" i="7"/>
  <c r="S767" i="7" s="1"/>
  <c r="Q768" i="7"/>
  <c r="S768" i="7" s="1"/>
  <c r="Q769" i="7"/>
  <c r="S769" i="7" s="1"/>
  <c r="Q770" i="7"/>
  <c r="S770" i="7" s="1"/>
  <c r="Q771" i="7"/>
  <c r="S771" i="7" s="1"/>
  <c r="Q772" i="7"/>
  <c r="S772" i="7" s="1"/>
  <c r="Q773" i="7"/>
  <c r="S773" i="7" s="1"/>
  <c r="Q774" i="7"/>
  <c r="S774" i="7" s="1"/>
  <c r="Q775" i="7"/>
  <c r="S775" i="7" s="1"/>
  <c r="Q776" i="7"/>
  <c r="S776" i="7" s="1"/>
  <c r="Q777" i="7"/>
  <c r="S777" i="7" s="1"/>
  <c r="Q778" i="7"/>
  <c r="S778" i="7" s="1"/>
  <c r="Q779" i="7"/>
  <c r="S779" i="7" s="1"/>
  <c r="Q780" i="7"/>
  <c r="S780" i="7" s="1"/>
  <c r="Q781" i="7"/>
  <c r="S781" i="7" s="1"/>
  <c r="Q782" i="7"/>
  <c r="S782" i="7" s="1"/>
  <c r="Q783" i="7"/>
  <c r="S783" i="7" s="1"/>
  <c r="Q784" i="7"/>
  <c r="S784" i="7" s="1"/>
  <c r="Q785" i="7"/>
  <c r="S785" i="7" s="1"/>
  <c r="Q786" i="7"/>
  <c r="S786" i="7" s="1"/>
  <c r="Q787" i="7"/>
  <c r="S787" i="7" s="1"/>
  <c r="Q788" i="7"/>
  <c r="S788" i="7" s="1"/>
  <c r="Q789" i="7"/>
  <c r="S789" i="7" s="1"/>
  <c r="Q790" i="7"/>
  <c r="S790" i="7" s="1"/>
  <c r="Q791" i="7"/>
  <c r="S791" i="7" s="1"/>
  <c r="Q792" i="7"/>
  <c r="S792" i="7" s="1"/>
  <c r="Q793" i="7"/>
  <c r="S793" i="7" s="1"/>
  <c r="Q794" i="7"/>
  <c r="S794" i="7" s="1"/>
  <c r="Q795" i="7"/>
  <c r="S795" i="7" s="1"/>
  <c r="Q796" i="7"/>
  <c r="S796" i="7" s="1"/>
  <c r="Q797" i="7"/>
  <c r="S797" i="7" s="1"/>
  <c r="Q798" i="7"/>
  <c r="S798" i="7" s="1"/>
  <c r="Q799" i="7"/>
  <c r="S799" i="7" s="1"/>
  <c r="Q800" i="7"/>
  <c r="S800" i="7" s="1"/>
  <c r="Q801" i="7"/>
  <c r="S801" i="7" s="1"/>
  <c r="Q802" i="7"/>
  <c r="S802" i="7" s="1"/>
  <c r="Q803" i="7"/>
  <c r="S803" i="7" s="1"/>
  <c r="Q804" i="7"/>
  <c r="S804" i="7" s="1"/>
  <c r="Q805" i="7"/>
  <c r="S805" i="7" s="1"/>
  <c r="Q806" i="7"/>
  <c r="S806" i="7" s="1"/>
  <c r="Q807" i="7"/>
  <c r="S807" i="7" s="1"/>
  <c r="Q808" i="7"/>
  <c r="S808" i="7" s="1"/>
  <c r="Q809" i="7"/>
  <c r="S809" i="7" s="1"/>
  <c r="Q810" i="7"/>
  <c r="S810" i="7" s="1"/>
  <c r="Q811" i="7"/>
  <c r="S811" i="7" s="1"/>
  <c r="Q812" i="7"/>
  <c r="S812" i="7" s="1"/>
  <c r="Q813" i="7"/>
  <c r="S813" i="7" s="1"/>
  <c r="Q814" i="7"/>
  <c r="S814" i="7" s="1"/>
  <c r="Q815" i="7"/>
  <c r="S815" i="7" s="1"/>
  <c r="Q816" i="7"/>
  <c r="S816" i="7" s="1"/>
  <c r="Q817" i="7"/>
  <c r="S817" i="7" s="1"/>
  <c r="Q818" i="7"/>
  <c r="S818" i="7" s="1"/>
  <c r="Q819" i="7"/>
  <c r="S819" i="7" s="1"/>
  <c r="Q820" i="7"/>
  <c r="S820" i="7" s="1"/>
  <c r="Q821" i="7"/>
  <c r="S821" i="7" s="1"/>
  <c r="Q822" i="7"/>
  <c r="S822" i="7" s="1"/>
  <c r="Q823" i="7"/>
  <c r="S823" i="7" s="1"/>
  <c r="Q824" i="7"/>
  <c r="S824" i="7" s="1"/>
  <c r="Q825" i="7"/>
  <c r="S825" i="7" s="1"/>
  <c r="Q826" i="7"/>
  <c r="S826" i="7" s="1"/>
  <c r="Q827" i="7"/>
  <c r="S827" i="7" s="1"/>
  <c r="Q828" i="7"/>
  <c r="S828" i="7" s="1"/>
  <c r="Q829" i="7"/>
  <c r="S829" i="7" s="1"/>
  <c r="Q830" i="7"/>
  <c r="S830" i="7" s="1"/>
  <c r="Q831" i="7"/>
  <c r="S831" i="7" s="1"/>
  <c r="Q832" i="7"/>
  <c r="S832" i="7" s="1"/>
  <c r="Q833" i="7"/>
  <c r="S833" i="7" s="1"/>
  <c r="Q834" i="7"/>
  <c r="S834" i="7" s="1"/>
  <c r="Q835" i="7"/>
  <c r="S835" i="7" s="1"/>
  <c r="Q836" i="7"/>
  <c r="S836" i="7" s="1"/>
  <c r="Q837" i="7"/>
  <c r="S837" i="7" s="1"/>
  <c r="Q838" i="7"/>
  <c r="S838" i="7" s="1"/>
  <c r="Q839" i="7"/>
  <c r="S839" i="7" s="1"/>
  <c r="Q840" i="7"/>
  <c r="S840" i="7" s="1"/>
  <c r="Q841" i="7"/>
  <c r="S841" i="7" s="1"/>
  <c r="Q842" i="7"/>
  <c r="S842" i="7" s="1"/>
  <c r="Q843" i="7"/>
  <c r="S843" i="7" s="1"/>
  <c r="Q844" i="7"/>
  <c r="S844" i="7" s="1"/>
  <c r="Q845" i="7"/>
  <c r="S845" i="7" s="1"/>
  <c r="Q846" i="7"/>
  <c r="S846" i="7" s="1"/>
  <c r="Q847" i="7"/>
  <c r="S847" i="7" s="1"/>
  <c r="Q848" i="7"/>
  <c r="S848" i="7" s="1"/>
  <c r="Q849" i="7"/>
  <c r="S849" i="7" s="1"/>
  <c r="Q850" i="7"/>
  <c r="S850" i="7" s="1"/>
  <c r="Q851" i="7"/>
  <c r="S851" i="7" s="1"/>
  <c r="Q852" i="7"/>
  <c r="S852" i="7" s="1"/>
  <c r="Q853" i="7"/>
  <c r="S853" i="7" s="1"/>
  <c r="Q854" i="7"/>
  <c r="S854" i="7" s="1"/>
  <c r="Q855" i="7"/>
  <c r="S855" i="7" s="1"/>
  <c r="Q856" i="7"/>
  <c r="S856" i="7" s="1"/>
  <c r="Q857" i="7"/>
  <c r="S857" i="7" s="1"/>
  <c r="Q858" i="7"/>
  <c r="S858" i="7" s="1"/>
  <c r="Q859" i="7"/>
  <c r="S859" i="7" s="1"/>
  <c r="Q860" i="7"/>
  <c r="S860" i="7" s="1"/>
  <c r="Q861" i="7"/>
  <c r="S861" i="7" s="1"/>
  <c r="Q862" i="7"/>
  <c r="S862" i="7" s="1"/>
  <c r="Q863" i="7"/>
  <c r="S863" i="7" s="1"/>
  <c r="Q864" i="7"/>
  <c r="S864" i="7" s="1"/>
  <c r="Q865" i="7"/>
  <c r="S865" i="7" s="1"/>
  <c r="Q866" i="7"/>
  <c r="S866" i="7" s="1"/>
  <c r="Q867" i="7"/>
  <c r="S867" i="7" s="1"/>
  <c r="Q868" i="7"/>
  <c r="S868" i="7" s="1"/>
  <c r="Q869" i="7"/>
  <c r="S869" i="7" s="1"/>
  <c r="Q870" i="7"/>
  <c r="S870" i="7" s="1"/>
  <c r="Q871" i="7"/>
  <c r="S871" i="7" s="1"/>
  <c r="Q872" i="7"/>
  <c r="S872" i="7" s="1"/>
  <c r="Q873" i="7"/>
  <c r="S873" i="7" s="1"/>
  <c r="Q874" i="7"/>
  <c r="S874" i="7" s="1"/>
  <c r="Q875" i="7"/>
  <c r="S875" i="7" s="1"/>
  <c r="Q876" i="7"/>
  <c r="S876" i="7" s="1"/>
  <c r="Q877" i="7"/>
  <c r="S877" i="7" s="1"/>
  <c r="Q878" i="7"/>
  <c r="S878" i="7" s="1"/>
  <c r="Q879" i="7"/>
  <c r="S879" i="7" s="1"/>
  <c r="Q880" i="7"/>
  <c r="S880" i="7" s="1"/>
  <c r="Q881" i="7"/>
  <c r="S881" i="7" s="1"/>
  <c r="Q882" i="7"/>
  <c r="S882" i="7" s="1"/>
  <c r="Q883" i="7"/>
  <c r="S883" i="7" s="1"/>
  <c r="Q884" i="7"/>
  <c r="S884" i="7" s="1"/>
  <c r="Q885" i="7"/>
  <c r="S885" i="7" s="1"/>
  <c r="Q886" i="7"/>
  <c r="S886" i="7" s="1"/>
  <c r="Q887" i="7"/>
  <c r="S887" i="7" s="1"/>
  <c r="Q888" i="7"/>
  <c r="S888" i="7" s="1"/>
  <c r="Q889" i="7"/>
  <c r="S889" i="7" s="1"/>
  <c r="Q890" i="7"/>
  <c r="S890" i="7" s="1"/>
  <c r="Q891" i="7"/>
  <c r="S891" i="7" s="1"/>
  <c r="Q892" i="7"/>
  <c r="S892" i="7" s="1"/>
  <c r="Q893" i="7"/>
  <c r="S893" i="7" s="1"/>
  <c r="Q894" i="7"/>
  <c r="S894" i="7" s="1"/>
  <c r="Q895" i="7"/>
  <c r="S895" i="7" s="1"/>
  <c r="Q896" i="7"/>
  <c r="S896" i="7" s="1"/>
  <c r="Q897" i="7"/>
  <c r="S897" i="7" s="1"/>
  <c r="Q898" i="7"/>
  <c r="S898" i="7" s="1"/>
  <c r="Q899" i="7"/>
  <c r="S899" i="7" s="1"/>
  <c r="Q900" i="7"/>
  <c r="S900" i="7" s="1"/>
  <c r="Q901" i="7"/>
  <c r="S901" i="7" s="1"/>
  <c r="Q902" i="7"/>
  <c r="S902" i="7" s="1"/>
  <c r="Q903" i="7"/>
  <c r="S903" i="7" s="1"/>
  <c r="Q904" i="7"/>
  <c r="S904" i="7" s="1"/>
  <c r="Q905" i="7"/>
  <c r="S905" i="7" s="1"/>
  <c r="Q906" i="7"/>
  <c r="S906" i="7" s="1"/>
  <c r="Q907" i="7"/>
  <c r="S907" i="7" s="1"/>
  <c r="Q908" i="7"/>
  <c r="S908" i="7" s="1"/>
  <c r="Q909" i="7"/>
  <c r="S909" i="7" s="1"/>
  <c r="Q910" i="7"/>
  <c r="S910" i="7" s="1"/>
  <c r="Q911" i="7"/>
  <c r="S911" i="7" s="1"/>
  <c r="Q912" i="7"/>
  <c r="S912" i="7" s="1"/>
  <c r="Q913" i="7"/>
  <c r="S913" i="7" s="1"/>
  <c r="Q914" i="7"/>
  <c r="S914" i="7" s="1"/>
  <c r="Q915" i="7"/>
  <c r="S915" i="7" s="1"/>
  <c r="Q916" i="7"/>
  <c r="S916" i="7" s="1"/>
  <c r="Q917" i="7"/>
  <c r="S917" i="7" s="1"/>
  <c r="Q918" i="7"/>
  <c r="S918" i="7" s="1"/>
  <c r="Q919" i="7"/>
  <c r="S919" i="7" s="1"/>
  <c r="Q920" i="7"/>
  <c r="S920" i="7" s="1"/>
  <c r="Q921" i="7"/>
  <c r="S921" i="7" s="1"/>
  <c r="Q922" i="7"/>
  <c r="S922" i="7" s="1"/>
  <c r="Q923" i="7"/>
  <c r="S923" i="7" s="1"/>
  <c r="Q924" i="7"/>
  <c r="S924" i="7" s="1"/>
  <c r="Q925" i="7"/>
  <c r="S925" i="7" s="1"/>
  <c r="Q926" i="7"/>
  <c r="S926" i="7" s="1"/>
  <c r="Q927" i="7"/>
  <c r="S927" i="7" s="1"/>
  <c r="Q928" i="7"/>
  <c r="S928" i="7" s="1"/>
  <c r="Q929" i="7"/>
  <c r="S929" i="7" s="1"/>
  <c r="Q930" i="7"/>
  <c r="S930" i="7" s="1"/>
  <c r="Q931" i="7"/>
  <c r="S931" i="7" s="1"/>
  <c r="Q932" i="7"/>
  <c r="S932" i="7" s="1"/>
  <c r="Q933" i="7"/>
  <c r="S933" i="7" s="1"/>
  <c r="Q934" i="7"/>
  <c r="S934" i="7" s="1"/>
  <c r="Q935" i="7"/>
  <c r="S935" i="7" s="1"/>
  <c r="Q936" i="7"/>
  <c r="S936" i="7" s="1"/>
  <c r="Q937" i="7"/>
  <c r="S937" i="7" s="1"/>
  <c r="Q938" i="7"/>
  <c r="S938" i="7" s="1"/>
  <c r="Q939" i="7"/>
  <c r="S939" i="7" s="1"/>
  <c r="Q940" i="7"/>
  <c r="S940" i="7" s="1"/>
  <c r="Q941" i="7"/>
  <c r="S941" i="7" s="1"/>
  <c r="Q942" i="7"/>
  <c r="S942" i="7" s="1"/>
  <c r="Q943" i="7"/>
  <c r="S943" i="7" s="1"/>
  <c r="Q944" i="7"/>
  <c r="S944" i="7" s="1"/>
  <c r="Q945" i="7"/>
  <c r="S945" i="7" s="1"/>
  <c r="Q946" i="7"/>
  <c r="S946" i="7" s="1"/>
  <c r="Q947" i="7"/>
  <c r="S947" i="7" s="1"/>
  <c r="Q948" i="7"/>
  <c r="S948" i="7" s="1"/>
  <c r="Q949" i="7"/>
  <c r="S949" i="7" s="1"/>
  <c r="Q950" i="7"/>
  <c r="S950" i="7" s="1"/>
  <c r="Q951" i="7"/>
  <c r="S951" i="7" s="1"/>
  <c r="Q952" i="7"/>
  <c r="S952" i="7" s="1"/>
  <c r="Q953" i="7"/>
  <c r="S953" i="7" s="1"/>
  <c r="Q954" i="7"/>
  <c r="S954" i="7" s="1"/>
  <c r="Q955" i="7"/>
  <c r="S955" i="7" s="1"/>
  <c r="Q956" i="7"/>
  <c r="S956" i="7" s="1"/>
  <c r="Q957" i="7"/>
  <c r="S957" i="7" s="1"/>
  <c r="Q958" i="7"/>
  <c r="S958" i="7" s="1"/>
  <c r="Q959" i="7"/>
  <c r="S959" i="7" s="1"/>
  <c r="Q960" i="7"/>
  <c r="S960" i="7" s="1"/>
  <c r="Q961" i="7"/>
  <c r="S961" i="7" s="1"/>
  <c r="Q962" i="7"/>
  <c r="S962" i="7" s="1"/>
  <c r="Q963" i="7"/>
  <c r="S963" i="7" s="1"/>
  <c r="Q964" i="7"/>
  <c r="S964" i="7" s="1"/>
  <c r="Q965" i="7"/>
  <c r="S965" i="7" s="1"/>
  <c r="Q966" i="7"/>
  <c r="S966" i="7" s="1"/>
  <c r="Q967" i="7"/>
  <c r="S967" i="7" s="1"/>
  <c r="Q968" i="7"/>
  <c r="S968" i="7" s="1"/>
  <c r="Q969" i="7"/>
  <c r="S969" i="7" s="1"/>
  <c r="Q970" i="7"/>
  <c r="S970" i="7" s="1"/>
  <c r="Q971" i="7"/>
  <c r="S971" i="7" s="1"/>
  <c r="Q972" i="7"/>
  <c r="S972" i="7" s="1"/>
  <c r="Q973" i="7"/>
  <c r="S973" i="7" s="1"/>
  <c r="Q974" i="7"/>
  <c r="S974" i="7" s="1"/>
  <c r="Q975" i="7"/>
  <c r="S975" i="7" s="1"/>
  <c r="Q976" i="7"/>
  <c r="S976" i="7" s="1"/>
  <c r="Q977" i="7"/>
  <c r="S977" i="7" s="1"/>
  <c r="Q978" i="7"/>
  <c r="S978" i="7" s="1"/>
  <c r="Q979" i="7"/>
  <c r="S979" i="7" s="1"/>
  <c r="Q980" i="7"/>
  <c r="S980" i="7" s="1"/>
  <c r="Q981" i="7"/>
  <c r="S981" i="7" s="1"/>
  <c r="Q982" i="7"/>
  <c r="S982" i="7" s="1"/>
  <c r="Q983" i="7"/>
  <c r="S983" i="7" s="1"/>
  <c r="Q984" i="7"/>
  <c r="S984" i="7" s="1"/>
  <c r="Q985" i="7"/>
  <c r="S985" i="7" s="1"/>
  <c r="Q986" i="7"/>
  <c r="S986" i="7" s="1"/>
  <c r="Q987" i="7"/>
  <c r="S987" i="7" s="1"/>
  <c r="Q988" i="7"/>
  <c r="S988" i="7" s="1"/>
  <c r="Q989" i="7"/>
  <c r="S989" i="7" s="1"/>
  <c r="Q990" i="7"/>
  <c r="S990" i="7" s="1"/>
  <c r="Q991" i="7"/>
  <c r="S991" i="7" s="1"/>
  <c r="Q992" i="7"/>
  <c r="S992" i="7" s="1"/>
  <c r="Q993" i="7"/>
  <c r="S993" i="7" s="1"/>
  <c r="Q994" i="7"/>
  <c r="S994" i="7" s="1"/>
  <c r="Q995" i="7"/>
  <c r="S995" i="7" s="1"/>
  <c r="Q996" i="7"/>
  <c r="S996" i="7" s="1"/>
  <c r="Q997" i="7"/>
  <c r="S997" i="7" s="1"/>
  <c r="Q998" i="7"/>
  <c r="S998" i="7" s="1"/>
  <c r="Q999" i="7"/>
  <c r="S999" i="7" s="1"/>
  <c r="Q1000" i="7"/>
  <c r="S1000" i="7" s="1"/>
  <c r="Q1001" i="7"/>
  <c r="S1001" i="7" s="1"/>
  <c r="Q1002" i="7"/>
  <c r="S1002" i="7" s="1"/>
  <c r="Q1003" i="7"/>
  <c r="S1003" i="7" s="1"/>
  <c r="Q1004" i="7"/>
  <c r="S1004" i="7" s="1"/>
  <c r="Q1005" i="7"/>
  <c r="S1005" i="7" s="1"/>
  <c r="Q1006" i="7"/>
  <c r="S1006" i="7" s="1"/>
  <c r="Q1007" i="7"/>
  <c r="S1007" i="7" s="1"/>
  <c r="Q1008" i="7"/>
  <c r="S1008" i="7" s="1"/>
  <c r="Q1009" i="7"/>
  <c r="S1009" i="7" s="1"/>
  <c r="Q1010" i="7"/>
  <c r="S1010" i="7" s="1"/>
  <c r="Q1011" i="7"/>
  <c r="S1011" i="7" s="1"/>
  <c r="Q1012" i="7"/>
  <c r="S1012" i="7" s="1"/>
  <c r="Q1013" i="7"/>
  <c r="S1013" i="7" s="1"/>
  <c r="Q1014" i="7"/>
  <c r="S1014" i="7" s="1"/>
  <c r="Q1015" i="7"/>
  <c r="S1015" i="7" s="1"/>
  <c r="Q1016" i="7"/>
  <c r="S1016" i="7" s="1"/>
  <c r="Q1017" i="7"/>
  <c r="S1017" i="7" s="1"/>
  <c r="Q1018" i="7"/>
  <c r="S1018" i="7" s="1"/>
  <c r="Q1019" i="7"/>
  <c r="S1019" i="7" s="1"/>
  <c r="Q1020" i="7"/>
  <c r="S1020" i="7" s="1"/>
  <c r="Q1021" i="7"/>
  <c r="S1021" i="7" s="1"/>
  <c r="Q1022" i="7"/>
  <c r="S1022" i="7" s="1"/>
  <c r="Q1023" i="7"/>
  <c r="S1023" i="7" s="1"/>
  <c r="Q1024" i="7"/>
  <c r="S1024" i="7" s="1"/>
  <c r="Q1025" i="7"/>
  <c r="S1025" i="7" s="1"/>
  <c r="Q1026" i="7"/>
  <c r="S1026" i="7" s="1"/>
  <c r="Q1027" i="7"/>
  <c r="S1027" i="7" s="1"/>
  <c r="Q1028" i="7"/>
  <c r="S1028" i="7" s="1"/>
  <c r="Q1029" i="7"/>
  <c r="S1029" i="7" s="1"/>
  <c r="Q1030" i="7"/>
  <c r="S1030" i="7" s="1"/>
  <c r="Q1031" i="7"/>
  <c r="S1031" i="7" s="1"/>
  <c r="Q1032" i="7"/>
  <c r="S1032" i="7" s="1"/>
  <c r="Q1033" i="7"/>
  <c r="S1033" i="7" s="1"/>
  <c r="Q1034" i="7"/>
  <c r="S1034" i="7" s="1"/>
  <c r="Q1035" i="7"/>
  <c r="S1035" i="7" s="1"/>
  <c r="Q1036" i="7"/>
  <c r="S1036" i="7" s="1"/>
  <c r="Q1037" i="7"/>
  <c r="S1037" i="7" s="1"/>
  <c r="Q1038" i="7"/>
  <c r="S1038" i="7" s="1"/>
  <c r="Q1039" i="7"/>
  <c r="S1039" i="7" s="1"/>
  <c r="Q1040" i="7"/>
  <c r="S1040" i="7" s="1"/>
  <c r="Q1041" i="7"/>
  <c r="S1041" i="7" s="1"/>
  <c r="Q1042" i="7"/>
  <c r="S1042" i="7" s="1"/>
  <c r="Q1043" i="7"/>
  <c r="S1043" i="7" s="1"/>
  <c r="Q1044" i="7"/>
  <c r="S1044" i="7" s="1"/>
  <c r="Q1045" i="7"/>
  <c r="S1045" i="7" s="1"/>
  <c r="Q1046" i="7"/>
  <c r="S1046" i="7" s="1"/>
  <c r="Q1047" i="7"/>
  <c r="S1047" i="7" s="1"/>
  <c r="Q1048" i="7"/>
  <c r="S1048" i="7" s="1"/>
  <c r="Q1049" i="7"/>
  <c r="S1049" i="7" s="1"/>
  <c r="Q1050" i="7"/>
  <c r="S1050" i="7" s="1"/>
  <c r="Q1051" i="7"/>
  <c r="S1051" i="7" s="1"/>
  <c r="Q2" i="7"/>
  <c r="S2"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84DC60-41C3-4C60-A99D-417D3236F3A8}"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2" xr16:uid="{5E515D0D-648C-4830-A024-30F906AB212C}" keepAlive="1" name="Query - Sheet1 (2)" description="Connection to the 'Sheet1 (2)' query in the workbook." type="5" refreshedVersion="0" background="1" saveData="1">
    <dbPr connection="Provider=Microsoft.Mashup.OleDb.1;Data Source=$Workbook$;Location=&quot;Sheet1 (2)&quot;;Extended Properties=&quot;&quot;" command="SELECT * FROM [Sheet1 (2)]"/>
  </connection>
  <connection id="3" xr16:uid="{99BCDEBF-C37E-47D1-AA43-96220F85730A}" keepAlive="1" name="Query - Sheet1 (3)" description="Connection to the 'Sheet1 (3)' query in the workbook." type="5" refreshedVersion="0" background="1" saveData="1">
    <dbPr connection="Provider=Microsoft.Mashup.OleDb.1;Data Source=$Workbook$;Location=&quot;Sheet1 (3)&quot;;Extended Properties=&quot;&quot;" command="SELECT * FROM [Sheet1 (3)]"/>
  </connection>
  <connection id="4" xr16:uid="{494326B8-BFF4-47C2-B532-BB88D6909897}" keepAlive="1" name="Query - Sheet1__3" description="Connection to the 'Sheet1__3' query in the workbook." type="5" refreshedVersion="0" background="1" saveData="1">
    <dbPr connection="Provider=Microsoft.Mashup.OleDb.1;Data Source=$Workbook$;Location=Sheet1__3;Extended Properties=&quot;&quot;" command="SELECT * FROM [Sheet1__3]"/>
  </connection>
  <connection id="5" xr16:uid="{5662F173-FAFE-45E7-8F89-1D413A3C3133}" keepAlive="1" name="Query - Sheet1__3_1" description="Connection to the 'Sheet1__3_1' query in the workbook." type="5" refreshedVersion="0" background="1">
    <dbPr connection="Provider=Microsoft.Mashup.OleDb.1;Data Source=$Workbook$;Location=Sheet1__3_1;Extended Properties=&quot;&quot;" command="SELECT * FROM [Sheet1__3_1]"/>
  </connection>
  <connection id="6" xr16:uid="{0C623A4B-972E-4129-91BE-379ABC14A49C}" keepAlive="1" name="Query - Sheet1__3_1_1" description="Connection to the 'Sheet1__3_1_1' query in the workbook." type="5" refreshedVersion="8" background="1" saveData="1">
    <dbPr connection="Provider=Microsoft.Mashup.OleDb.1;Data Source=$Workbook$;Location=Sheet1__3_1_1;Extended Properties=&quot;&quot;" command="SELECT * FROM [Sheet1__3_1_1]"/>
  </connection>
</connections>
</file>

<file path=xl/sharedStrings.xml><?xml version="1.0" encoding="utf-8"?>
<sst xmlns="http://schemas.openxmlformats.org/spreadsheetml/2006/main" count="10736" uniqueCount="1165">
  <si>
    <t>Order_Date</t>
  </si>
  <si>
    <t>Region</t>
  </si>
  <si>
    <t>Country</t>
  </si>
  <si>
    <t>Customer_Segment</t>
  </si>
  <si>
    <t>Category</t>
  </si>
  <si>
    <t>Sub_Category</t>
  </si>
  <si>
    <t>Salesperson</t>
  </si>
  <si>
    <t>Sales_Channel</t>
  </si>
  <si>
    <t>Payment_Method</t>
  </si>
  <si>
    <t>Order_Status</t>
  </si>
  <si>
    <t>Unit_Price</t>
  </si>
  <si>
    <t>Quantity</t>
  </si>
  <si>
    <t>Discount_%</t>
  </si>
  <si>
    <t>Gross_Revenue</t>
  </si>
  <si>
    <t>Discount_Amount</t>
  </si>
  <si>
    <t>Net_Revenue</t>
  </si>
  <si>
    <t>COGS</t>
  </si>
  <si>
    <t>Profit</t>
  </si>
  <si>
    <t>ORD-10062</t>
  </si>
  <si>
    <t>East</t>
  </si>
  <si>
    <t>Hungary</t>
  </si>
  <si>
    <t>Individual</t>
  </si>
  <si>
    <t>Food &amp; Beverages</t>
  </si>
  <si>
    <t>Snacks</t>
  </si>
  <si>
    <t>Maria Gonzalez</t>
  </si>
  <si>
    <t>Direct Sales</t>
  </si>
  <si>
    <t>Cash</t>
  </si>
  <si>
    <t>Returned</t>
  </si>
  <si>
    <t>ORD-10226</t>
  </si>
  <si>
    <t>North</t>
  </si>
  <si>
    <t>Netherlands</t>
  </si>
  <si>
    <t>Furniture</t>
  </si>
  <si>
    <t>Desks</t>
  </si>
  <si>
    <t>Hassan Al-Nasser</t>
  </si>
  <si>
    <t>Online</t>
  </si>
  <si>
    <t>Bank Transfer</t>
  </si>
  <si>
    <t>Completed</t>
  </si>
  <si>
    <t>ORD-10550</t>
  </si>
  <si>
    <t>Germany</t>
  </si>
  <si>
    <t>Government</t>
  </si>
  <si>
    <t>Chairs</t>
  </si>
  <si>
    <t>Mohammed Al-Farsi</t>
  </si>
  <si>
    <t>Wholesale</t>
  </si>
  <si>
    <t>ORD-10356</t>
  </si>
  <si>
    <t>Central</t>
  </si>
  <si>
    <t>Switzerland</t>
  </si>
  <si>
    <t>Beverages</t>
  </si>
  <si>
    <t>Emma Thompson</t>
  </si>
  <si>
    <t>Partner</t>
  </si>
  <si>
    <t>Credit Card</t>
  </si>
  <si>
    <t>ORD-10823</t>
  </si>
  <si>
    <t>Slovakia</t>
  </si>
  <si>
    <t>Fatima Al-Zahra</t>
  </si>
  <si>
    <t>Pending</t>
  </si>
  <si>
    <t>ORD-10439</t>
  </si>
  <si>
    <t>Clothing</t>
  </si>
  <si>
    <t>Accessories</t>
  </si>
  <si>
    <t>Klaus Weber</t>
  </si>
  <si>
    <t>ORD-10465</t>
  </si>
  <si>
    <t>Yuki Tanaka</t>
  </si>
  <si>
    <t>Retail Store</t>
  </si>
  <si>
    <t>ORD-10238</t>
  </si>
  <si>
    <t>Sweden</t>
  </si>
  <si>
    <t>Corporate</t>
  </si>
  <si>
    <t>ORD-10145</t>
  </si>
  <si>
    <t>Austria</t>
  </si>
  <si>
    <t>SMB</t>
  </si>
  <si>
    <t>Pants</t>
  </si>
  <si>
    <t>ORD-10509</t>
  </si>
  <si>
    <t>Office Supplies</t>
  </si>
  <si>
    <t>Printers</t>
  </si>
  <si>
    <t>Sarah Johnson</t>
  </si>
  <si>
    <t>ORD-10070</t>
  </si>
  <si>
    <t>Staples</t>
  </si>
  <si>
    <t>ORD-10034</t>
  </si>
  <si>
    <t>Bakery</t>
  </si>
  <si>
    <t>ORD-10287</t>
  </si>
  <si>
    <t>West</t>
  </si>
  <si>
    <t>Belgium</t>
  </si>
  <si>
    <t>Electronics</t>
  </si>
  <si>
    <t>Phones</t>
  </si>
  <si>
    <t>ORD-10538</t>
  </si>
  <si>
    <t>France</t>
  </si>
  <si>
    <t>Shirts</t>
  </si>
  <si>
    <t>ORD-10890</t>
  </si>
  <si>
    <t>Laptops</t>
  </si>
  <si>
    <t>ORD-10241</t>
  </si>
  <si>
    <t>David Kim</t>
  </si>
  <si>
    <t>ORD-10555</t>
  </si>
  <si>
    <t>Invoice</t>
  </si>
  <si>
    <t>ORD-10212</t>
  </si>
  <si>
    <t>Poland</t>
  </si>
  <si>
    <t>ORD-10831</t>
  </si>
  <si>
    <t>Shelves</t>
  </si>
  <si>
    <t>PayPal</t>
  </si>
  <si>
    <t>ORD-10566</t>
  </si>
  <si>
    <t>Tablets</t>
  </si>
  <si>
    <t>ORD-10002</t>
  </si>
  <si>
    <t>ORD-10704</t>
  </si>
  <si>
    <t>South</t>
  </si>
  <si>
    <t>Greece</t>
  </si>
  <si>
    <t>Pens</t>
  </si>
  <si>
    <t>ORD-10696</t>
  </si>
  <si>
    <t>Jackets</t>
  </si>
  <si>
    <t>ORD-10155</t>
  </si>
  <si>
    <t>ORD-10560</t>
  </si>
  <si>
    <t>Lena Müller</t>
  </si>
  <si>
    <t>ORD-10431</t>
  </si>
  <si>
    <t>Carlos Rivera</t>
  </si>
  <si>
    <t>ORD-10454</t>
  </si>
  <si>
    <t>UK</t>
  </si>
  <si>
    <t>Ahmed Al-Rashid</t>
  </si>
  <si>
    <t>ORD-10136</t>
  </si>
  <si>
    <t>Dairy</t>
  </si>
  <si>
    <t>ORD-10426</t>
  </si>
  <si>
    <t>ORD-10097</t>
  </si>
  <si>
    <t>ORD-10025</t>
  </si>
  <si>
    <t>ORD-10357</t>
  </si>
  <si>
    <t>ORD-10216</t>
  </si>
  <si>
    <t>ORD-10722</t>
  </si>
  <si>
    <t>Shoes</t>
  </si>
  <si>
    <t>ORD-10251</t>
  </si>
  <si>
    <t>Tables</t>
  </si>
  <si>
    <t>ORD-10833</t>
  </si>
  <si>
    <t>ORD-10603</t>
  </si>
  <si>
    <t>ORD-10359</t>
  </si>
  <si>
    <t>Paper</t>
  </si>
  <si>
    <t>ORD-10703</t>
  </si>
  <si>
    <t>ORD-10077</t>
  </si>
  <si>
    <t>ORD-10992</t>
  </si>
  <si>
    <t>Czech Republic</t>
  </si>
  <si>
    <t>ORD-10340</t>
  </si>
  <si>
    <t>Italy</t>
  </si>
  <si>
    <t>ORD-10682</t>
  </si>
  <si>
    <t>ORD-10862</t>
  </si>
  <si>
    <t>ORD-10909</t>
  </si>
  <si>
    <t>ORD-10945</t>
  </si>
  <si>
    <t>ORD-10390</t>
  </si>
  <si>
    <t>ORD-10516</t>
  </si>
  <si>
    <t>ORD-10173</t>
  </si>
  <si>
    <t>ORD-10698</t>
  </si>
  <si>
    <t>ORD-10409</t>
  </si>
  <si>
    <t>ORD-10842</t>
  </si>
  <si>
    <t>Cancelled</t>
  </si>
  <si>
    <t>ORD-10138</t>
  </si>
  <si>
    <t>ORD-10341</t>
  </si>
  <si>
    <t>ORD-10780</t>
  </si>
  <si>
    <t>ORD-10643</t>
  </si>
  <si>
    <t>Spain</t>
  </si>
  <si>
    <t>Coffee</t>
  </si>
  <si>
    <t>ORD-10730</t>
  </si>
  <si>
    <t>ORD-10058</t>
  </si>
  <si>
    <t>ORD-10829</t>
  </si>
  <si>
    <t>ORD-10714</t>
  </si>
  <si>
    <t>ORD-10230</t>
  </si>
  <si>
    <t>ORD-10649</t>
  </si>
  <si>
    <t>ORD-10176</t>
  </si>
  <si>
    <t>ORD-10065</t>
  </si>
  <si>
    <t>ORD-10103</t>
  </si>
  <si>
    <t>ORD-10875</t>
  </si>
  <si>
    <t>ORD-10218</t>
  </si>
  <si>
    <t>ORD-10513</t>
  </si>
  <si>
    <t>ORD-10666</t>
  </si>
  <si>
    <t>ORD-10132</t>
  </si>
  <si>
    <t>ORD-10543</t>
  </si>
  <si>
    <t>ORD-10599</t>
  </si>
  <si>
    <t>Cabinets</t>
  </si>
  <si>
    <t>ORD-10061</t>
  </si>
  <si>
    <t>ORD-10695</t>
  </si>
  <si>
    <t>ORD-10079</t>
  </si>
  <si>
    <t>ORD-10978</t>
  </si>
  <si>
    <t>ORD-10324</t>
  </si>
  <si>
    <t>Monitors</t>
  </si>
  <si>
    <t>ORD-10424</t>
  </si>
  <si>
    <t>ORD-10112</t>
  </si>
  <si>
    <t>ORD-10859</t>
  </si>
  <si>
    <t>ORD-10933</t>
  </si>
  <si>
    <t>ORD-11033</t>
  </si>
  <si>
    <t>ORD-10506</t>
  </si>
  <si>
    <t>ORD-10170</t>
  </si>
  <si>
    <t>ORD-10570</t>
  </si>
  <si>
    <t>ORD-10806</t>
  </si>
  <si>
    <t>ORD-10414</t>
  </si>
  <si>
    <t>ORD-10517</t>
  </si>
  <si>
    <t>ORD-10214</t>
  </si>
  <si>
    <t>ORD-10913</t>
  </si>
  <si>
    <t>ORD-10361</t>
  </si>
  <si>
    <t>ORD-10380</t>
  </si>
  <si>
    <t>ORD-10936</t>
  </si>
  <si>
    <t>ORD-10931</t>
  </si>
  <si>
    <t>Notebooks</t>
  </si>
  <si>
    <t>ORD-10392</t>
  </si>
  <si>
    <t>ORD-10518</t>
  </si>
  <si>
    <t>ORD-10769</t>
  </si>
  <si>
    <t>ORD-11016</t>
  </si>
  <si>
    <t>ORD-10653</t>
  </si>
  <si>
    <t>ORD-10088</t>
  </si>
  <si>
    <t>ORD-10428</t>
  </si>
  <si>
    <t>ORD-10389</t>
  </si>
  <si>
    <t>ORD-10108</t>
  </si>
  <si>
    <t>ORD-11027</t>
  </si>
  <si>
    <t>ORD-10921</t>
  </si>
  <si>
    <t>ORD-10422</t>
  </si>
  <si>
    <t>ORD-10881</t>
  </si>
  <si>
    <t>ORD-10036</t>
  </si>
  <si>
    <t>ORD-10553</t>
  </si>
  <si>
    <t>ORD-10941</t>
  </si>
  <si>
    <t>ORD-10932</t>
  </si>
  <si>
    <t>ORD-10280</t>
  </si>
  <si>
    <t>ORD-10844</t>
  </si>
  <si>
    <t>ORD-10101</t>
  </si>
  <si>
    <t>ORD-10902</t>
  </si>
  <si>
    <t>ORD-10725</t>
  </si>
  <si>
    <t>ORD-10967</t>
  </si>
  <si>
    <t>ORD-10190</t>
  </si>
  <si>
    <t>ORD-10487</t>
  </si>
  <si>
    <t>ORD-10891</t>
  </si>
  <si>
    <t>ORD-10411</t>
  </si>
  <si>
    <t>ORD-10130</t>
  </si>
  <si>
    <t>ORD-10943</t>
  </si>
  <si>
    <t>ORD-10520</t>
  </si>
  <si>
    <t>ORD-10942</t>
  </si>
  <si>
    <t>ORD-10125</t>
  </si>
  <si>
    <t>ORD-11038</t>
  </si>
  <si>
    <t>ORD-10086</t>
  </si>
  <si>
    <t>ORD-10293</t>
  </si>
  <si>
    <t>ORD-10789</t>
  </si>
  <si>
    <t>ORD-10219</t>
  </si>
  <si>
    <t>ORD-10950</t>
  </si>
  <si>
    <t>ORD-10939</t>
  </si>
  <si>
    <t>ORD-10793</t>
  </si>
  <si>
    <t>ORD-10590</t>
  </si>
  <si>
    <t>ORD-10363</t>
  </si>
  <si>
    <t>ORD-10129</t>
  </si>
  <si>
    <t>ORD-10947</t>
  </si>
  <si>
    <t>ORD-10539</t>
  </si>
  <si>
    <t>ORD-10106</t>
  </si>
  <si>
    <t>ORD-10378</t>
  </si>
  <si>
    <t>ORD-10810</t>
  </si>
  <si>
    <t>ORD-10035</t>
  </si>
  <si>
    <t>ORD-10899</t>
  </si>
  <si>
    <t>ORD-10971</t>
  </si>
  <si>
    <t>ORD-10449</t>
  </si>
  <si>
    <t>ORD-10142</t>
  </si>
  <si>
    <t>ORD-10161</t>
  </si>
  <si>
    <t>ORD-10755</t>
  </si>
  <si>
    <t>ORD-10183</t>
  </si>
  <si>
    <t>ORD-10275</t>
  </si>
  <si>
    <t>ORD-10865</t>
  </si>
  <si>
    <t>ORD-10069</t>
  </si>
  <si>
    <t>ORD-10523</t>
  </si>
  <si>
    <t>ORD-10122</t>
  </si>
  <si>
    <t>ORD-10908</t>
  </si>
  <si>
    <t>ORD-10154</t>
  </si>
  <si>
    <t>ORD-10313</t>
  </si>
  <si>
    <t>ORD-10552</t>
  </si>
  <si>
    <t>ORD-10630</t>
  </si>
  <si>
    <t>ORD-10185</t>
  </si>
  <si>
    <t>ORD-10151</t>
  </si>
  <si>
    <t>ORD-10527</t>
  </si>
  <si>
    <t>ORD-10735</t>
  </si>
  <si>
    <t>ORD-10979</t>
  </si>
  <si>
    <t>ORD-10382</t>
  </si>
  <si>
    <t>ORD-10668</t>
  </si>
  <si>
    <t>ORD-10045</t>
  </si>
  <si>
    <t>ORD-10308</t>
  </si>
  <si>
    <t>ORD-10991</t>
  </si>
  <si>
    <t>ORD-10202</t>
  </si>
  <si>
    <t>ORD-10072</t>
  </si>
  <si>
    <t>ORD-10362</t>
  </si>
  <si>
    <t>ORD-10627</t>
  </si>
  <si>
    <t>ORD-10038</t>
  </si>
  <si>
    <t>ORD-10210</t>
  </si>
  <si>
    <t>ORD-10762</t>
  </si>
  <si>
    <t>ORD-10757</t>
  </si>
  <si>
    <t>ORD-10011</t>
  </si>
  <si>
    <t>ORD-10423</t>
  </si>
  <si>
    <t>ORD-10263</t>
  </si>
  <si>
    <t>ORD-10109</t>
  </si>
  <si>
    <t>ORD-10227</t>
  </si>
  <si>
    <t>ORD-10024</t>
  </si>
  <si>
    <t>ORD-10255</t>
  </si>
  <si>
    <t>ORD-10894</t>
  </si>
  <si>
    <t>ORD-10107</t>
  </si>
  <si>
    <t>ORD-10880</t>
  </si>
  <si>
    <t>ORD-10843</t>
  </si>
  <si>
    <t>ORD-10618</t>
  </si>
  <si>
    <t>ORD-10471</t>
  </si>
  <si>
    <t>ORD-10922</t>
  </si>
  <si>
    <t>ORD-10670</t>
  </si>
  <si>
    <t>ORD-10533</t>
  </si>
  <si>
    <t>ORD-10661</t>
  </si>
  <si>
    <t>ORD-10849</t>
  </si>
  <si>
    <t>ORD-10299</t>
  </si>
  <si>
    <t>ORD-10981</t>
  </si>
  <si>
    <t>ORD-10116</t>
  </si>
  <si>
    <t>ORD-10492</t>
  </si>
  <si>
    <t>ORD-10776</t>
  </si>
  <si>
    <t>ORD-10435</t>
  </si>
  <si>
    <t>ORD-10675</t>
  </si>
  <si>
    <t>ORD-10298</t>
  </si>
  <si>
    <t>ORD-10954</t>
  </si>
  <si>
    <t>ORD-10572</t>
  </si>
  <si>
    <t>ORD-10022</t>
  </si>
  <si>
    <t>ORD-10009</t>
  </si>
  <si>
    <t>ORD-10443</t>
  </si>
  <si>
    <t>ORD-10927</t>
  </si>
  <si>
    <t>ORD-10838</t>
  </si>
  <si>
    <t>ORD-10845</t>
  </si>
  <si>
    <t>ORD-10271</t>
  </si>
  <si>
    <t>ORD-10887</t>
  </si>
  <si>
    <t>ORD-10964</t>
  </si>
  <si>
    <t>ORD-10281</t>
  </si>
  <si>
    <t>ORD-10569</t>
  </si>
  <si>
    <t>ORD-10012</t>
  </si>
  <si>
    <t>ORD-10042</t>
  </si>
  <si>
    <t>ORD-10305</t>
  </si>
  <si>
    <t>ORD-10153</t>
  </si>
  <si>
    <t>ORD-10873</t>
  </si>
  <si>
    <t>ORD-10028</t>
  </si>
  <si>
    <t>ORD-10213</t>
  </si>
  <si>
    <t>ORD-10360</t>
  </si>
  <si>
    <t>ORD-11022</t>
  </si>
  <si>
    <t>ORD-10240</t>
  </si>
  <si>
    <t>ORD-11004</t>
  </si>
  <si>
    <t>ORD-10818</t>
  </si>
  <si>
    <t>ORD-10990</t>
  </si>
  <si>
    <t>ORD-10589</t>
  </si>
  <si>
    <t>ORD-10709</t>
  </si>
  <si>
    <t>ORD-10159</t>
  </si>
  <si>
    <t>ORD-10160</t>
  </si>
  <si>
    <t>ORD-10343</t>
  </si>
  <si>
    <t>ORD-10689</t>
  </si>
  <si>
    <t>ORD-10486</t>
  </si>
  <si>
    <t>ORD-10680</t>
  </si>
  <si>
    <t>ORD-10949</t>
  </si>
  <si>
    <t>ORD-10211</t>
  </si>
  <si>
    <t>ORD-10483</t>
  </si>
  <si>
    <t>ORD-10284</t>
  </si>
  <si>
    <t>ORD-10882</t>
  </si>
  <si>
    <t>ORD-10766</t>
  </si>
  <si>
    <t>ORD-10193</t>
  </si>
  <si>
    <t>ORD-10748</t>
  </si>
  <si>
    <t>ORD-10352</t>
  </si>
  <si>
    <t>ORD-10004</t>
  </si>
  <si>
    <t>ORD-10690</t>
  </si>
  <si>
    <t>ORD-10739</t>
  </si>
  <si>
    <t>ORD-10912</t>
  </si>
  <si>
    <t>ORD-10885</t>
  </si>
  <si>
    <t>ORD-11007</t>
  </si>
  <si>
    <t>ORD-10371</t>
  </si>
  <si>
    <t>ORD-10134</t>
  </si>
  <si>
    <t>ORD-10250</t>
  </si>
  <si>
    <t>ORD-10419</t>
  </si>
  <si>
    <t>ORD-10495</t>
  </si>
  <si>
    <t>ORD-10289</t>
  </si>
  <si>
    <t>ORD-10556</t>
  </si>
  <si>
    <t>ORD-10477</t>
  </si>
  <si>
    <t>ORD-10544</t>
  </si>
  <si>
    <t>ORD-10820</t>
  </si>
  <si>
    <t>ORD-10524</t>
  </si>
  <si>
    <t>ORD-10254</t>
  </si>
  <si>
    <t>ORD-10646</t>
  </si>
  <si>
    <t>ORD-10502</t>
  </si>
  <si>
    <t>ORD-10479</t>
  </si>
  <si>
    <t>ORD-10530</t>
  </si>
  <si>
    <t>ORD-10327</t>
  </si>
  <si>
    <t>ORD-10307</t>
  </si>
  <si>
    <t>ORD-10656</t>
  </si>
  <si>
    <t>ORD-10935</t>
  </si>
  <si>
    <t>ORD-10494</t>
  </si>
  <si>
    <t>ORD-10365</t>
  </si>
  <si>
    <t>ORD-10469</t>
  </si>
  <si>
    <t>ORD-11014</t>
  </si>
  <si>
    <t>ORD-10040</t>
  </si>
  <si>
    <t>ORD-10871</t>
  </si>
  <si>
    <t>ORD-10084</t>
  </si>
  <si>
    <t>ORD-10457</t>
  </si>
  <si>
    <t>ORD-10542</t>
  </si>
  <si>
    <t>ORD-10052</t>
  </si>
  <si>
    <t>ORD-10581</t>
  </si>
  <si>
    <t>ORD-10099</t>
  </si>
  <si>
    <t>ORD-10113</t>
  </si>
  <si>
    <t>ORD-10664</t>
  </si>
  <si>
    <t>ORD-10946</t>
  </si>
  <si>
    <t>ORD-10334</t>
  </si>
  <si>
    <t>ORD-10617</t>
  </si>
  <si>
    <t>ORD-10126</t>
  </si>
  <si>
    <t>ORD-10975</t>
  </si>
  <si>
    <t>ORD-10750</t>
  </si>
  <si>
    <t>ORD-10180</t>
  </si>
  <si>
    <t>ORD-10957</t>
  </si>
  <si>
    <t>ORD-10835</t>
  </si>
  <si>
    <t>ORD-10745</t>
  </si>
  <si>
    <t>ORD-10235</t>
  </si>
  <si>
    <t>ORD-10470</t>
  </si>
  <si>
    <t>ORD-10332</t>
  </si>
  <si>
    <t>ORD-10093</t>
  </si>
  <si>
    <t>ORD-10773</t>
  </si>
  <si>
    <t>ORD-10323</t>
  </si>
  <si>
    <t>ORD-10727</t>
  </si>
  <si>
    <t>ORD-10529</t>
  </si>
  <si>
    <t>ORD-10985</t>
  </si>
  <si>
    <t>ORD-10925</t>
  </si>
  <si>
    <t>ORD-10854</t>
  </si>
  <si>
    <t>ORD-10085</t>
  </si>
  <si>
    <t>ORD-10063</t>
  </si>
  <si>
    <t>ORD-10450</t>
  </si>
  <si>
    <t>ORD-10918</t>
  </si>
  <si>
    <t>ORD-10456</t>
  </si>
  <si>
    <t>ORD-10442</t>
  </si>
  <si>
    <t>ORD-10420</t>
  </si>
  <si>
    <t>ORD-10828</t>
  </si>
  <si>
    <t>ORD-10195</t>
  </si>
  <si>
    <t>ORD-10372</t>
  </si>
  <si>
    <t>ORD-10184</t>
  </si>
  <si>
    <t>ORD-10736</t>
  </si>
  <si>
    <t>ORD-10433</t>
  </si>
  <si>
    <t>ORD-10685</t>
  </si>
  <si>
    <t>ORD-11031</t>
  </si>
  <si>
    <t>ORD-10121</t>
  </si>
  <si>
    <t>ORD-10742</t>
  </si>
  <si>
    <t>ORD-10326</t>
  </si>
  <si>
    <t>ORD-10381</t>
  </si>
  <si>
    <t>ORD-10204</t>
  </si>
  <si>
    <t>ORD-10592</t>
  </si>
  <si>
    <t>ORD-10268</t>
  </si>
  <si>
    <t>ORD-10162</t>
  </si>
  <si>
    <t>ORD-10580</t>
  </si>
  <si>
    <t>ORD-10671</t>
  </si>
  <si>
    <t>ORD-10952</t>
  </si>
  <si>
    <t>ORD-10635</t>
  </si>
  <si>
    <t>ORD-10778</t>
  </si>
  <si>
    <t>ORD-10295</t>
  </si>
  <si>
    <t>ORD-10264</t>
  </si>
  <si>
    <t>ORD-10163</t>
  </si>
  <si>
    <t>ORD-10402</t>
  </si>
  <si>
    <t>ORD-10078</t>
  </si>
  <si>
    <t>ORD-10499</t>
  </si>
  <si>
    <t>ORD-10258</t>
  </si>
  <si>
    <t>ORD-10576</t>
  </si>
  <si>
    <t>ORD-10294</t>
  </si>
  <si>
    <t>ORD-10500</t>
  </si>
  <si>
    <t>ORD-10455</t>
  </si>
  <si>
    <t>ORD-10870</t>
  </si>
  <si>
    <t>ORD-10721</t>
  </si>
  <si>
    <t>ORD-10473</t>
  </si>
  <si>
    <t>ORD-10853</t>
  </si>
  <si>
    <t>ORD-10647</t>
  </si>
  <si>
    <t>ORD-10253</t>
  </si>
  <si>
    <t>ORD-10236</t>
  </si>
  <si>
    <t>ORD-10734</t>
  </si>
  <si>
    <t>ORD-10609</t>
  </si>
  <si>
    <t>ORD-10032</t>
  </si>
  <si>
    <t>ORD-10804</t>
  </si>
  <si>
    <t>ORD-10039</t>
  </si>
  <si>
    <t>ORD-10825</t>
  </si>
  <si>
    <t>ORD-10944</t>
  </si>
  <si>
    <t>ORD-10591</t>
  </si>
  <si>
    <t>ORD-10315</t>
  </si>
  <si>
    <t>ORD-10013</t>
  </si>
  <si>
    <t>ORD-10746</t>
  </si>
  <si>
    <t>ORD-10336</t>
  </si>
  <si>
    <t>ORD-10718</t>
  </si>
  <si>
    <t>ORD-10732</t>
  </si>
  <si>
    <t>ORD-10505</t>
  </si>
  <si>
    <t>ORD-10625</t>
  </si>
  <si>
    <t>ORD-10461</t>
  </si>
  <si>
    <t>ORD-10205</t>
  </si>
  <si>
    <t>ORD-10712</t>
  </si>
  <si>
    <t>ORD-10588</t>
  </si>
  <si>
    <t>ORD-10611</t>
  </si>
  <si>
    <t>ORD-10182</t>
  </si>
  <si>
    <t>ORD-10046</t>
  </si>
  <si>
    <t>ORD-10800</t>
  </si>
  <si>
    <t>ORD-10335</t>
  </si>
  <si>
    <t>ORD-10355</t>
  </si>
  <si>
    <t>ORD-10898</t>
  </si>
  <si>
    <t>ORD-10693</t>
  </si>
  <si>
    <t>ORD-10490</t>
  </si>
  <si>
    <t>ORD-10425</t>
  </si>
  <si>
    <t>ORD-10320</t>
  </si>
  <si>
    <t>ORD-10231</t>
  </si>
  <si>
    <t>ORD-10177</t>
  </si>
  <si>
    <t>ORD-10857</t>
  </si>
  <si>
    <t>ORD-10482</t>
  </si>
  <si>
    <t>ORD-10403</t>
  </si>
  <si>
    <t>ORD-10033</t>
  </si>
  <si>
    <t>ORD-10476</t>
  </si>
  <si>
    <t>ORD-10283</t>
  </si>
  <si>
    <t>ORD-10262</t>
  </si>
  <si>
    <t>ORD-10312</t>
  </si>
  <si>
    <t>ORD-10376</t>
  </si>
  <si>
    <t>ORD-10878</t>
  </si>
  <si>
    <t>ORD-10310</t>
  </si>
  <si>
    <t>ORD-10717</t>
  </si>
  <si>
    <t>ORD-10889</t>
  </si>
  <si>
    <t>ORD-10331</t>
  </si>
  <si>
    <t>ORD-10729</t>
  </si>
  <si>
    <t>ORD-10259</t>
  </si>
  <si>
    <t>ORD-10128</t>
  </si>
  <si>
    <t>ORD-10740</t>
  </si>
  <si>
    <t>ORD-10608</t>
  </si>
  <si>
    <t>ORD-10306</t>
  </si>
  <si>
    <t>ORD-10368</t>
  </si>
  <si>
    <t>ORD-10737</t>
  </si>
  <si>
    <t>ORD-10339</t>
  </si>
  <si>
    <t>ORD-10713</t>
  </si>
  <si>
    <t>ORD-10373</t>
  </si>
  <si>
    <t>ORD-10354</t>
  </si>
  <si>
    <t>ORD-10309</t>
  </si>
  <si>
    <t>ORD-10651</t>
  </si>
  <si>
    <t>ORD-10719</t>
  </si>
  <si>
    <t>ORD-10877</t>
  </si>
  <si>
    <t>ORD-10634</t>
  </si>
  <si>
    <t>ORD-10697</t>
  </si>
  <si>
    <t>ORD-10472</t>
  </si>
  <si>
    <t>ORD-10008</t>
  </si>
  <si>
    <t>ORD-10279</t>
  </si>
  <si>
    <t>ORD-10401</t>
  </si>
  <si>
    <t>ORD-10658</t>
  </si>
  <si>
    <t>ORD-10277</t>
  </si>
  <si>
    <t>ORD-10934</t>
  </si>
  <si>
    <t>ORD-10319</t>
  </si>
  <si>
    <t>ORD-10220</t>
  </si>
  <si>
    <t>ORD-10498</t>
  </si>
  <si>
    <t>ORD-10137</t>
  </si>
  <si>
    <t>ORD-10759</t>
  </si>
  <si>
    <t>ORD-10980</t>
  </si>
  <si>
    <t>ORD-10720</t>
  </si>
  <si>
    <t>ORD-10846</t>
  </si>
  <si>
    <t>ORD-10677</t>
  </si>
  <si>
    <t>ORD-10020</t>
  </si>
  <si>
    <t>ORD-10304</t>
  </si>
  <si>
    <t>ORD-10386</t>
  </si>
  <si>
    <t>ORD-10969</t>
  </si>
  <si>
    <t>ORD-10615</t>
  </si>
  <si>
    <t>ORD-10290</t>
  </si>
  <si>
    <t>ORD-10508</t>
  </si>
  <si>
    <t>ORD-10071</t>
  </si>
  <si>
    <t>ORD-10886</t>
  </si>
  <si>
    <t>ORD-10648</t>
  </si>
  <si>
    <t>ORD-10089</t>
  </si>
  <si>
    <t>ORD-10394</t>
  </si>
  <si>
    <t>ORD-10797</t>
  </si>
  <si>
    <t>ORD-10775</t>
  </si>
  <si>
    <t>ORD-10037</t>
  </si>
  <si>
    <t>ORD-10375</t>
  </si>
  <si>
    <t>ORD-10681</t>
  </si>
  <si>
    <t>ORD-10715</t>
  </si>
  <si>
    <t>ORD-10951</t>
  </si>
  <si>
    <t>ORD-10584</t>
  </si>
  <si>
    <t>ORD-10351</t>
  </si>
  <si>
    <t>ORD-10963</t>
  </si>
  <si>
    <t>ORD-10706</t>
  </si>
  <si>
    <t>ORD-10803</t>
  </si>
  <si>
    <t>ORD-10171</t>
  </si>
  <si>
    <t>ORD-10397</t>
  </si>
  <si>
    <t>ORD-10900</t>
  </si>
  <si>
    <t>ORD-11017</t>
  </si>
  <si>
    <t>ORD-10549</t>
  </si>
  <si>
    <t>ORD-10447</t>
  </si>
  <si>
    <t>ORD-10347</t>
  </si>
  <si>
    <t>ORD-10201</t>
  </si>
  <si>
    <t>ORD-10561</t>
  </si>
  <si>
    <t>ORD-10600</t>
  </si>
  <si>
    <t>ORD-11020</t>
  </si>
  <si>
    <t>ORD-10896</t>
  </si>
  <si>
    <t>ORD-10792</t>
  </si>
  <si>
    <t>ORD-11043</t>
  </si>
  <si>
    <t>ORD-10114</t>
  </si>
  <si>
    <t>ORD-10092</t>
  </si>
  <si>
    <t>ORD-11025</t>
  </si>
  <si>
    <t>ORD-10869</t>
  </si>
  <si>
    <t>ORD-10337</t>
  </si>
  <si>
    <t>ORD-10998</t>
  </si>
  <si>
    <t>ORD-10073</t>
  </si>
  <si>
    <t>ORD-10654</t>
  </si>
  <si>
    <t>ORD-10192</t>
  </si>
  <si>
    <t>ORD-10705</t>
  </si>
  <si>
    <t>ORD-10744</t>
  </si>
  <si>
    <t>ORD-10535</t>
  </si>
  <si>
    <t>ORD-10007</t>
  </si>
  <si>
    <t>ORD-10564</t>
  </si>
  <si>
    <t>ORD-10501</t>
  </si>
  <si>
    <t>ORD-10075</t>
  </si>
  <si>
    <t>ORD-10930</t>
  </si>
  <si>
    <t>ORD-11013</t>
  </si>
  <si>
    <t>ORD-10265</t>
  </si>
  <si>
    <t>ORD-10606</t>
  </si>
  <si>
    <t>ORD-10514</t>
  </si>
  <si>
    <t>ORD-10765</t>
  </si>
  <si>
    <t>ORD-10974</t>
  </si>
  <si>
    <t>ORD-10480</t>
  </si>
  <si>
    <t>ORD-10057</t>
  </si>
  <si>
    <t>ORD-10510</t>
  </si>
  <si>
    <t>ORD-10795</t>
  </si>
  <si>
    <t>ORD-10358</t>
  </si>
  <si>
    <t>ORD-10244</t>
  </si>
  <si>
    <t>ORD-10232</t>
  </si>
  <si>
    <t>ORD-10060</t>
  </si>
  <si>
    <t>ORD-10545</t>
  </si>
  <si>
    <t>ORD-10528</t>
  </si>
  <si>
    <t>ORD-11024</t>
  </si>
  <si>
    <t>ORD-11015</t>
  </si>
  <si>
    <t>ORD-11018</t>
  </si>
  <si>
    <t>ORD-10986</t>
  </si>
  <si>
    <t>ORD-10460</t>
  </si>
  <si>
    <t>ORD-10234</t>
  </si>
  <si>
    <t>ORD-10346</t>
  </si>
  <si>
    <t>ORD-10029</t>
  </si>
  <si>
    <t>ORD-10418</t>
  </si>
  <si>
    <t>ORD-10667</t>
  </si>
  <si>
    <t>ORD-10117</t>
  </si>
  <si>
    <t>ORD-10248</t>
  </si>
  <si>
    <t>ORD-10874</t>
  </si>
  <si>
    <t>ORD-10733</t>
  </si>
  <si>
    <t>ORD-10911</t>
  </si>
  <si>
    <t>ORD-10448</t>
  </si>
  <si>
    <t>ORD-10897</t>
  </si>
  <si>
    <t>ORD-10965</t>
  </si>
  <si>
    <t>ORD-10607</t>
  </si>
  <si>
    <t>ORD-10429</t>
  </si>
  <si>
    <t>ORD-11009</t>
  </si>
  <si>
    <t>ORD-10267</t>
  </si>
  <si>
    <t>ORD-10926</t>
  </si>
  <si>
    <t>ORD-10551</t>
  </si>
  <si>
    <t>ORD-10884</t>
  </si>
  <si>
    <t>ORD-10631</t>
  </si>
  <si>
    <t>ORD-10632</t>
  </si>
  <si>
    <t>ORD-10165</t>
  </si>
  <si>
    <t>ORD-10014</t>
  </si>
  <si>
    <t>ORD-10772</t>
  </si>
  <si>
    <t>ORD-10191</t>
  </si>
  <si>
    <t>ORD-10174</t>
  </si>
  <si>
    <t>ORD-10743</t>
  </si>
  <si>
    <t>ORD-10511</t>
  </si>
  <si>
    <t>ORD-10474</t>
  </si>
  <si>
    <t>ORD-11005</t>
  </si>
  <si>
    <t>ORD-10821</t>
  </si>
  <si>
    <t>ORD-10547</t>
  </si>
  <si>
    <t>ORD-10481</t>
  </si>
  <si>
    <t>ORD-10801</t>
  </si>
  <si>
    <t>ORD-10595</t>
  </si>
  <si>
    <t>ORD-10256</t>
  </si>
  <si>
    <t>ORD-10597</t>
  </si>
  <si>
    <t>ORD-10901</t>
  </si>
  <si>
    <t>ORD-10242</t>
  </si>
  <si>
    <t>ORD-10987</t>
  </si>
  <si>
    <t>ORD-10770</t>
  </si>
  <si>
    <t>ORD-10282</t>
  </si>
  <si>
    <t>ORD-11042</t>
  </si>
  <si>
    <t>ORD-10096</t>
  </si>
  <si>
    <t>ORD-10044</t>
  </si>
  <si>
    <t>ORD-11030</t>
  </si>
  <si>
    <t>ORD-10817</t>
  </si>
  <si>
    <t>ORD-10405</t>
  </si>
  <si>
    <t>ORD-10815</t>
  </si>
  <si>
    <t>ORD-10628</t>
  </si>
  <si>
    <t>ORD-10330</t>
  </si>
  <si>
    <t>ORD-10172</t>
  </si>
  <si>
    <t>ORD-10050</t>
  </si>
  <si>
    <t>ORD-10940</t>
  </si>
  <si>
    <t>ORD-10314</t>
  </si>
  <si>
    <t>ORD-10861</t>
  </si>
  <si>
    <t>ORD-10558</t>
  </si>
  <si>
    <t>ORD-11034</t>
  </si>
  <si>
    <t>ORD-10928</t>
  </si>
  <si>
    <t>ORD-10968</t>
  </si>
  <si>
    <t>ORD-10728</t>
  </si>
  <si>
    <t>ORD-10124</t>
  </si>
  <si>
    <t>ORD-10385</t>
  </si>
  <si>
    <t>ORD-10605</t>
  </si>
  <si>
    <t>ORD-10559</t>
  </si>
  <si>
    <t>ORD-10650</t>
  </si>
  <si>
    <t>ORD-11028</t>
  </si>
  <si>
    <t>ORD-10807</t>
  </si>
  <si>
    <t>ORD-10325</t>
  </si>
  <si>
    <t>ORD-10525</t>
  </si>
  <si>
    <t>ORD-10923</t>
  </si>
  <si>
    <t>ORD-10432</t>
  </si>
  <si>
    <t>ORD-10224</t>
  </si>
  <si>
    <t>ORD-10115</t>
  </si>
  <si>
    <t>ORD-10388</t>
  </si>
  <si>
    <t>ORD-10000</t>
  </si>
  <si>
    <t>ORD-10167</t>
  </si>
  <si>
    <t>ORD-10080</t>
  </si>
  <si>
    <t>ORD-10904</t>
  </si>
  <si>
    <t>ORD-10209</t>
  </si>
  <si>
    <t>ORD-10010</t>
  </si>
  <si>
    <t>ORD-10475</t>
  </si>
  <si>
    <t>ORD-10081</t>
  </si>
  <si>
    <t>ORD-10752</t>
  </si>
  <si>
    <t>ORD-10478</t>
  </si>
  <si>
    <t>ORD-10955</t>
  </si>
  <si>
    <t>ORD-10410</t>
  </si>
  <si>
    <t>ORD-10353</t>
  </si>
  <si>
    <t>ORD-10700</t>
  </si>
  <si>
    <t>ORD-10175</t>
  </si>
  <si>
    <t>ORD-10366</t>
  </si>
  <si>
    <t>ORD-10726</t>
  </si>
  <si>
    <t>ORD-10135</t>
  </si>
  <si>
    <t>ORD-10848</t>
  </si>
  <si>
    <t>ORD-10237</t>
  </si>
  <si>
    <t>ORD-10669</t>
  </si>
  <si>
    <t>ORD-10207</t>
  </si>
  <si>
    <t>ORD-10203</t>
  </si>
  <si>
    <t>ORD-10824</t>
  </si>
  <si>
    <t>ORD-11011</t>
  </si>
  <si>
    <t>ORD-10623</t>
  </si>
  <si>
    <t>ORD-10546</t>
  </si>
  <si>
    <t>ORD-10536</t>
  </si>
  <si>
    <t>ORD-10406</t>
  </si>
  <si>
    <t>ORD-10805</t>
  </si>
  <si>
    <t>ORD-10269</t>
  </si>
  <si>
    <t>ORD-10068</t>
  </si>
  <si>
    <t>ORD-10860</t>
  </si>
  <si>
    <t>ORD-11026</t>
  </si>
  <si>
    <t>ORD-10164</t>
  </si>
  <si>
    <t>ORD-10995</t>
  </si>
  <si>
    <t>ORD-10840</t>
  </si>
  <si>
    <t>ORD-10485</t>
  </si>
  <si>
    <t>ORD-10503</t>
  </si>
  <si>
    <t>ORD-10094</t>
  </si>
  <si>
    <t>ORD-10568</t>
  </si>
  <si>
    <t>ORD-10019</t>
  </si>
  <si>
    <t>ORD-10787</t>
  </si>
  <si>
    <t>ORD-10140</t>
  </si>
  <si>
    <t>ORD-10610</t>
  </si>
  <si>
    <t>ORD-10133</t>
  </si>
  <si>
    <t>ORD-10910</t>
  </si>
  <si>
    <t>ORD-10876</t>
  </si>
  <si>
    <t>ORD-10143</t>
  </si>
  <si>
    <t>ORD-10459</t>
  </si>
  <si>
    <t>ORD-10059</t>
  </si>
  <si>
    <t>ORD-10166</t>
  </si>
  <si>
    <t>ORD-10699</t>
  </si>
  <si>
    <t>ORD-10288</t>
  </si>
  <si>
    <t>ORD-10613</t>
  </si>
  <si>
    <t>ORD-10662</t>
  </si>
  <si>
    <t>ORD-10451</t>
  </si>
  <si>
    <t>ORD-10507</t>
  </si>
  <si>
    <t>ORD-10771</t>
  </si>
  <si>
    <t>ORD-10276</t>
  </si>
  <si>
    <t>ORD-10286</t>
  </si>
  <si>
    <t>ORD-10839</t>
  </si>
  <si>
    <t>ORD-10783</t>
  </si>
  <si>
    <t>ORD-10893</t>
  </si>
  <si>
    <t>ORD-10051</t>
  </si>
  <si>
    <t>ORD-10147</t>
  </si>
  <si>
    <t>ORD-10642</t>
  </si>
  <si>
    <t>ORD-10421</t>
  </si>
  <si>
    <t>ORD-10814</t>
  </si>
  <si>
    <t>ORD-10453</t>
  </si>
  <si>
    <t>ORD-10879</t>
  </si>
  <si>
    <t>ORD-10200</t>
  </si>
  <si>
    <t>ORD-10847</t>
  </si>
  <si>
    <t>ORD-10674</t>
  </si>
  <si>
    <t>ORD-10181</t>
  </si>
  <si>
    <t>ORD-10791</t>
  </si>
  <si>
    <t>ORD-10464</t>
  </si>
  <si>
    <t>ORD-10055</t>
  </si>
  <si>
    <t>ORD-10329</t>
  </si>
  <si>
    <t>ORD-10738</t>
  </si>
  <si>
    <t>ORD-10784</t>
  </si>
  <si>
    <t>ORD-10644</t>
  </si>
  <si>
    <t>ORD-10300</t>
  </si>
  <si>
    <t>ORD-10082</t>
  </si>
  <si>
    <t>ORD-11047</t>
  </si>
  <si>
    <t>ORD-10663</t>
  </si>
  <si>
    <t>ORD-10687</t>
  </si>
  <si>
    <t>ORD-10929</t>
  </si>
  <si>
    <t>ORD-10864</t>
  </si>
  <si>
    <t>ORD-10067</t>
  </si>
  <si>
    <t>ORD-10049</t>
  </si>
  <si>
    <t>ORD-10026</t>
  </si>
  <si>
    <t>ORD-10342</t>
  </si>
  <si>
    <t>ORD-10626</t>
  </si>
  <si>
    <t>ORD-10996</t>
  </si>
  <si>
    <t>ORD-10684</t>
  </si>
  <si>
    <t>ORD-10083</t>
  </si>
  <si>
    <t>ORD-10076</t>
  </si>
  <si>
    <t>ORD-10206</t>
  </si>
  <si>
    <t>ORD-10515</t>
  </si>
  <si>
    <t>ORD-10396</t>
  </si>
  <si>
    <t>ORD-11006</t>
  </si>
  <si>
    <t>ORD-11012</t>
  </si>
  <si>
    <t>ORD-10064</t>
  </si>
  <si>
    <t>ORD-11045</t>
  </si>
  <si>
    <t>ORD-10400</t>
  </si>
  <si>
    <t>ORD-10855</t>
  </si>
  <si>
    <t>ORD-10749</t>
  </si>
  <si>
    <t>ORD-10526</t>
  </si>
  <si>
    <t>ORD-10903</t>
  </si>
  <si>
    <t>ORD-10001</t>
  </si>
  <si>
    <t>ORD-10229</t>
  </si>
  <si>
    <t>ORD-10489</t>
  </si>
  <si>
    <t>ORD-10168</t>
  </si>
  <si>
    <t>ORD-10758</t>
  </si>
  <si>
    <t>ORD-10937</t>
  </si>
  <si>
    <t>ORD-10953</t>
  </si>
  <si>
    <t>ORD-10278</t>
  </si>
  <si>
    <t>ORD-10960</t>
  </si>
  <si>
    <t>ORD-10318</t>
  </si>
  <si>
    <t>ORD-10601</t>
  </si>
  <si>
    <t>ORD-10246</t>
  </si>
  <si>
    <t>ORD-10152</t>
  </si>
  <si>
    <t>ORD-10554</t>
  </si>
  <si>
    <t>ORD-10408</t>
  </si>
  <si>
    <t>ORD-10273</t>
  </si>
  <si>
    <t>ORD-10196</t>
  </si>
  <si>
    <t>ORD-10257</t>
  </si>
  <si>
    <t>ORD-10123</t>
  </si>
  <si>
    <t>ORD-10344</t>
  </si>
  <si>
    <t>ORD-10956</t>
  </si>
  <si>
    <t>ORD-10321</t>
  </si>
  <si>
    <t>ORD-10916</t>
  </si>
  <si>
    <t>ORD-10888</t>
  </si>
  <si>
    <t>ORD-10149</t>
  </si>
  <si>
    <t>ORD-11049</t>
  </si>
  <si>
    <t>ORD-10688</t>
  </si>
  <si>
    <t>ORD-10100</t>
  </si>
  <si>
    <t>ORD-11003</t>
  </si>
  <si>
    <t>ORD-10493</t>
  </si>
  <si>
    <t>ORD-10788</t>
  </si>
  <si>
    <t>ORD-10015</t>
  </si>
  <si>
    <t>ORD-10830</t>
  </si>
  <si>
    <t>ORD-10976</t>
  </si>
  <si>
    <t>ORD-10645</t>
  </si>
  <si>
    <t>ORD-10416</t>
  </si>
  <si>
    <t>ORD-10768</t>
  </si>
  <si>
    <t>ORD-10387</t>
  </si>
  <si>
    <t>ORD-11001</t>
  </si>
  <si>
    <t>ORD-10391</t>
  </si>
  <si>
    <t>ORD-10997</t>
  </si>
  <si>
    <t>ORD-10095</t>
  </si>
  <si>
    <t>ORD-10272</t>
  </si>
  <si>
    <t>ORD-10676</t>
  </si>
  <si>
    <t>ORD-10760</t>
  </si>
  <si>
    <t>ORD-10756</t>
  </si>
  <si>
    <t>ORD-10852</t>
  </si>
  <si>
    <t>ORD-10557</t>
  </si>
  <si>
    <t>ORD-10367</t>
  </si>
  <si>
    <t>ORD-10604</t>
  </si>
  <si>
    <t>ORD-10415</t>
  </si>
  <si>
    <t>ORD-10836</t>
  </si>
  <si>
    <t>ORD-10562</t>
  </si>
  <si>
    <t>ORD-10030</t>
  </si>
  <si>
    <t>ORD-11044</t>
  </si>
  <si>
    <t>ORD-10444</t>
  </si>
  <si>
    <t>ORD-10624</t>
  </si>
  <si>
    <t>ORD-10579</t>
  </si>
  <si>
    <t>ORD-10711</t>
  </si>
  <si>
    <t>ORD-10006</t>
  </si>
  <si>
    <t>ORD-10816</t>
  </si>
  <si>
    <t>ORD-10679</t>
  </si>
  <si>
    <t>ORD-10808</t>
  </si>
  <si>
    <t>ORD-10003</t>
  </si>
  <si>
    <t>ORD-10291</t>
  </si>
  <si>
    <t>ORD-10017</t>
  </si>
  <si>
    <t>ORD-10948</t>
  </si>
  <si>
    <t>ORD-10673</t>
  </si>
  <si>
    <t>ORD-10141</t>
  </si>
  <si>
    <t>ORD-10868</t>
  </si>
  <si>
    <t>ORD-10249</t>
  </si>
  <si>
    <t>ORD-10665</t>
  </si>
  <si>
    <t>ORD-10370</t>
  </si>
  <si>
    <t>ORD-10616</t>
  </si>
  <si>
    <t>ORD-10678</t>
  </si>
  <si>
    <t>ORD-11041</t>
  </si>
  <si>
    <t>ORD-10333</t>
  </si>
  <si>
    <t>ORD-10225</t>
  </si>
  <si>
    <t>ORD-10621</t>
  </si>
  <si>
    <t>ORD-10993</t>
  </si>
  <si>
    <t>ORD-10233</t>
  </si>
  <si>
    <t>ORD-10907</t>
  </si>
  <si>
    <t>ORD-10575</t>
  </si>
  <si>
    <t>ORD-10316</t>
  </si>
  <si>
    <t>ORD-10221</t>
  </si>
  <si>
    <t>ORD-10938</t>
  </si>
  <si>
    <t>ORD-10178</t>
  </si>
  <si>
    <t>ORD-10452</t>
  </si>
  <si>
    <t>ORD-10858</t>
  </si>
  <si>
    <t>ORD-10031</t>
  </si>
  <si>
    <t>ORD-10427</t>
  </si>
  <si>
    <t>ORD-10782</t>
  </si>
  <si>
    <t>ORD-10468</t>
  </si>
  <si>
    <t>ORD-10120</t>
  </si>
  <si>
    <t>ORD-10655</t>
  </si>
  <si>
    <t>ORD-10988</t>
  </si>
  <si>
    <t>ORD-10158</t>
  </si>
  <si>
    <t>ORD-10484</t>
  </si>
  <si>
    <t>ORD-10571</t>
  </si>
  <si>
    <t>ORD-10023</t>
  </si>
  <si>
    <t>ORD-10716</t>
  </si>
  <si>
    <t>ORD-10914</t>
  </si>
  <si>
    <t>ORD-10994</t>
  </si>
  <si>
    <t>ORD-10573</t>
  </si>
  <si>
    <t>ORD-10577</t>
  </si>
  <si>
    <t>ORD-10413</t>
  </si>
  <si>
    <t>ORD-10999</t>
  </si>
  <si>
    <t>ORD-10794</t>
  </si>
  <si>
    <t>ORD-10144</t>
  </si>
  <si>
    <t>ORD-10819</t>
  </si>
  <si>
    <t>ORD-10832</t>
  </si>
  <si>
    <t>ORD-10228</t>
  </si>
  <si>
    <t>ORD-10863</t>
  </si>
  <si>
    <t>ORD-10189</t>
  </si>
  <si>
    <t>ORD-10110</t>
  </si>
  <si>
    <t>ORD-10194</t>
  </si>
  <si>
    <t>ORD-10970</t>
  </si>
  <si>
    <t>ORD-10199</t>
  </si>
  <si>
    <t>ORD-11021</t>
  </si>
  <si>
    <t>ORD-10633</t>
  </si>
  <si>
    <t>ORD-10583</t>
  </si>
  <si>
    <t>ORD-10317</t>
  </si>
  <si>
    <t>ORD-10512</t>
  </si>
  <si>
    <t>ORD-10790</t>
  </si>
  <si>
    <t>ORD-10021</t>
  </si>
  <si>
    <t>ORD-10301</t>
  </si>
  <si>
    <t>ORD-10105</t>
  </si>
  <si>
    <t>ORD-10983</t>
  </si>
  <si>
    <t>ORD-10338</t>
  </si>
  <si>
    <t>ORD-11039</t>
  </si>
  <si>
    <t>ORD-10582</t>
  </si>
  <si>
    <t>ORD-10652</t>
  </si>
  <si>
    <t>ORD-10393</t>
  </si>
  <si>
    <t>ORD-10593</t>
  </si>
  <si>
    <t>ORD-10374</t>
  </si>
  <si>
    <t>ORD-10548</t>
  </si>
  <si>
    <t>ORD-10148</t>
  </si>
  <si>
    <t>ORD-11040</t>
  </si>
  <si>
    <t>ORD-10534</t>
  </si>
  <si>
    <t>ORD-10091</t>
  </si>
  <si>
    <t>ORD-10467</t>
  </si>
  <si>
    <t>ORD-10779</t>
  </si>
  <si>
    <t>ORD-10694</t>
  </si>
  <si>
    <t>ORD-10692</t>
  </si>
  <si>
    <t>ORD-10747</t>
  </si>
  <si>
    <t>ORD-10973</t>
  </si>
  <si>
    <t>ORD-10614</t>
  </si>
  <si>
    <t>ORD-10777</t>
  </si>
  <si>
    <t>ORD-10619</t>
  </si>
  <si>
    <t>ORD-10657</t>
  </si>
  <si>
    <t>ORD-10565</t>
  </si>
  <si>
    <t>ORD-10303</t>
  </si>
  <si>
    <t>ORD-10672</t>
  </si>
  <si>
    <t>ORD-11002</t>
  </si>
  <si>
    <t>ORD-10384</t>
  </si>
  <si>
    <t>ORD-10827</t>
  </si>
  <si>
    <t>ORD-10872</t>
  </si>
  <si>
    <t>ORD-10639</t>
  </si>
  <si>
    <t>ORD-10785</t>
  </si>
  <si>
    <t>ORD-10430</t>
  </si>
  <si>
    <t>ORD-10640</t>
  </si>
  <si>
    <t>ORD-10638</t>
  </si>
  <si>
    <t>ORD-10586</t>
  </si>
  <si>
    <t>ORD-10723</t>
  </si>
  <si>
    <t>ORD-10612</t>
  </si>
  <si>
    <t>ORD-10774</t>
  </si>
  <si>
    <t>ORD-10412</t>
  </si>
  <si>
    <t>ORD-10169</t>
  </si>
  <si>
    <t>ORD-10826</t>
  </si>
  <si>
    <t>ORD-10596</t>
  </si>
  <si>
    <t>ORD-10261</t>
  </si>
  <si>
    <t>ORD-10463</t>
  </si>
  <si>
    <t>ORD-10731</t>
  </si>
  <si>
    <t>ORD-10016</t>
  </si>
  <si>
    <t>ORD-10186</t>
  </si>
  <si>
    <t>ORD-10292</t>
  </si>
  <si>
    <t>ORD-10296</t>
  </si>
  <si>
    <t>ORD-10822</t>
  </si>
  <si>
    <t>ORD-10066</t>
  </si>
  <si>
    <t>ORD-10724</t>
  </si>
  <si>
    <t>ORD-10594</t>
  </si>
  <si>
    <t>ORD-10578</t>
  </si>
  <si>
    <t>ORD-10377</t>
  </si>
  <si>
    <t>ORD-10519</t>
  </si>
  <si>
    <t>ORD-10048</t>
  </si>
  <si>
    <t>ORD-10841</t>
  </si>
  <si>
    <t>ORD-10620</t>
  </si>
  <si>
    <t>ORD-11000</t>
  </si>
  <si>
    <t>ORD-11008</t>
  </si>
  <si>
    <t>ORD-10707</t>
  </si>
  <si>
    <t>ORD-10379</t>
  </si>
  <si>
    <t>ORD-10920</t>
  </si>
  <si>
    <t>ORD-10104</t>
  </si>
  <si>
    <t>ORD-11048</t>
  </si>
  <si>
    <t>ORD-10127</t>
  </si>
  <si>
    <t>ORD-10741</t>
  </si>
  <si>
    <t>ORD-10629</t>
  </si>
  <si>
    <t>ORD-10383</t>
  </si>
  <si>
    <t>ORD-10660</t>
  </si>
  <si>
    <t>ORD-10239</t>
  </si>
  <si>
    <t>ORD-10972</t>
  </si>
  <si>
    <t>ORD-11010</t>
  </si>
  <si>
    <t>ORD-10417</t>
  </si>
  <si>
    <t>ORD-10139</t>
  </si>
  <si>
    <t>ORD-10541</t>
  </si>
  <si>
    <t>ORD-10915</t>
  </si>
  <si>
    <t>ORD-10754</t>
  </si>
  <si>
    <t>ORD-10959</t>
  </si>
  <si>
    <t>ORD-10683</t>
  </si>
  <si>
    <t>ORD-10883</t>
  </si>
  <si>
    <t>ORD-10488</t>
  </si>
  <si>
    <t>ORD-11019</t>
  </si>
  <si>
    <t>ORD-10350</t>
  </si>
  <si>
    <t>ORD-10198</t>
  </si>
  <si>
    <t>ORD-10798</t>
  </si>
  <si>
    <t>ORD-10458</t>
  </si>
  <si>
    <t>ORD-10540</t>
  </si>
  <si>
    <t>ORD-10812</t>
  </si>
  <si>
    <t>ORD-10005</t>
  </si>
  <si>
    <t>ORD-10567</t>
  </si>
  <si>
    <t>ORD-10917</t>
  </si>
  <si>
    <t>ORD-10311</t>
  </si>
  <si>
    <t>ORD-10247</t>
  </si>
  <si>
    <t>ORD-10041</t>
  </si>
  <si>
    <t>ORD-10767</t>
  </si>
  <si>
    <t>ORD-10297</t>
  </si>
  <si>
    <t>ORD-10270</t>
  </si>
  <si>
    <t>ORD-10851</t>
  </si>
  <si>
    <t>ORD-10537</t>
  </si>
  <si>
    <t>ORD-10215</t>
  </si>
  <si>
    <t>ORD-10636</t>
  </si>
  <si>
    <t>ORD-10146</t>
  </si>
  <si>
    <t>ORD-11037</t>
  </si>
  <si>
    <t>ORD-10659</t>
  </si>
  <si>
    <t>ORD-10574</t>
  </si>
  <si>
    <t>ORD-10982</t>
  </si>
  <si>
    <t>ORD-10434</t>
  </si>
  <si>
    <t>ORD-10496</t>
  </si>
  <si>
    <t>ORD-10867</t>
  </si>
  <si>
    <t>ORD-10641</t>
  </si>
  <si>
    <t>ORD-10497</t>
  </si>
  <si>
    <t>ORD-10111</t>
  </si>
  <si>
    <t>ORD-10585</t>
  </si>
  <si>
    <t>ORD-10446</t>
  </si>
  <si>
    <t>ORD-10187</t>
  </si>
  <si>
    <t>ORD-11036</t>
  </si>
  <si>
    <t>ORD-10521</t>
  </si>
  <si>
    <t>ORD-10440</t>
  </si>
  <si>
    <t>ORD-10984</t>
  </si>
  <si>
    <t>ORD-10053</t>
  </si>
  <si>
    <t>ORD-10364</t>
  </si>
  <si>
    <t>ORD-10348</t>
  </si>
  <si>
    <t>ORD-10919</t>
  </si>
  <si>
    <t>ORD-10260</t>
  </si>
  <si>
    <t>ORD-10223</t>
  </si>
  <si>
    <t>ORD-10786</t>
  </si>
  <si>
    <t>ORD-10179</t>
  </si>
  <si>
    <t>ORD-10102</t>
  </si>
  <si>
    <t>ORD-10217</t>
  </si>
  <si>
    <t>ORD-10763</t>
  </si>
  <si>
    <t>ORD-10962</t>
  </si>
  <si>
    <t>ORD-10328</t>
  </si>
  <si>
    <t>ORD-11029</t>
  </si>
  <si>
    <t>ORD-10466</t>
  </si>
  <si>
    <t>ORD-10701</t>
  </si>
  <si>
    <t>ORD-11032</t>
  </si>
  <si>
    <t>ORD-10395</t>
  </si>
  <si>
    <t>ORD-10027</t>
  </si>
  <si>
    <t>ORD-10781</t>
  </si>
  <si>
    <t>ORD-10892</t>
  </si>
  <si>
    <t>ORD-10837</t>
  </si>
  <si>
    <t>ORD-10090</t>
  </si>
  <si>
    <t>ORD-10622</t>
  </si>
  <si>
    <t>ORD-10905</t>
  </si>
  <si>
    <t>ORD-10407</t>
  </si>
  <si>
    <t>ORD-10399</t>
  </si>
  <si>
    <t>ORD-10369</t>
  </si>
  <si>
    <t>ORD-10208</t>
  </si>
  <si>
    <t>ORD-10906</t>
  </si>
  <si>
    <t>ORD-10532</t>
  </si>
  <si>
    <t>ORD-10056</t>
  </si>
  <si>
    <t>ORD-10895</t>
  </si>
  <si>
    <t>ORD-10197</t>
  </si>
  <si>
    <t>ORD-10966</t>
  </si>
  <si>
    <t>ORD-11023</t>
  </si>
  <si>
    <t>ORD-10961</t>
  </si>
  <si>
    <t>ORD-10018</t>
  </si>
  <si>
    <t>ORD-10866</t>
  </si>
  <si>
    <t>ORD-10799</t>
  </si>
  <si>
    <t>ORD-10436</t>
  </si>
  <si>
    <t>ORD-10131</t>
  </si>
  <si>
    <t>ORD-10764</t>
  </si>
  <si>
    <t>ORD-10119</t>
  </si>
  <si>
    <t>ORD-10098</t>
  </si>
  <si>
    <t>ORD-10710</t>
  </si>
  <si>
    <t>ORD-10531</t>
  </si>
  <si>
    <t>ORD-10047</t>
  </si>
  <si>
    <t>ORD-10761</t>
  </si>
  <si>
    <t>ORD-10809</t>
  </si>
  <si>
    <t>ORD-10989</t>
  </si>
  <si>
    <t>ORD-10445</t>
  </si>
  <si>
    <t>ORD-10438</t>
  </si>
  <si>
    <t>ORD-10404</t>
  </si>
  <si>
    <t>ORD-10958</t>
  </si>
  <si>
    <t>ORD-10504</t>
  </si>
  <si>
    <t>ORD-10243</t>
  </si>
  <si>
    <t>ORD-10345</t>
  </si>
  <si>
    <t>ORD-10811</t>
  </si>
  <si>
    <t>ORD-10796</t>
  </si>
  <si>
    <t>ORD-10043</t>
  </si>
  <si>
    <t>ORD-10751</t>
  </si>
  <si>
    <t>ORD-10087</t>
  </si>
  <si>
    <t>ORD-11046</t>
  </si>
  <si>
    <t>ORD-10266</t>
  </si>
  <si>
    <t>ORD-10602</t>
  </si>
  <si>
    <t>ORD-10074</t>
  </si>
  <si>
    <t>ORD-10522</t>
  </si>
  <si>
    <t>ORD-10188</t>
  </si>
  <si>
    <t>ORD-10157</t>
  </si>
  <si>
    <t>ORD-10856</t>
  </si>
  <si>
    <t>ORD-10691</t>
  </si>
  <si>
    <t>ORD-10686</t>
  </si>
  <si>
    <t>ORD-10563</t>
  </si>
  <si>
    <t>ORD-10924</t>
  </si>
  <si>
    <t>ORD-10491</t>
  </si>
  <si>
    <t>ORD-10150</t>
  </si>
  <si>
    <t>ORD-10302</t>
  </si>
  <si>
    <t>ORD-11035</t>
  </si>
  <si>
    <t>ORD-10441</t>
  </si>
  <si>
    <t>ORD-10322</t>
  </si>
  <si>
    <t>ORD-10349</t>
  </si>
  <si>
    <t>ORD-10398</t>
  </si>
  <si>
    <t>ORD-10834</t>
  </si>
  <si>
    <t>ORD-10285</t>
  </si>
  <si>
    <t>ORD-10054</t>
  </si>
  <si>
    <t>ORD-10702</t>
  </si>
  <si>
    <t>ORD-10977</t>
  </si>
  <si>
    <t>ORD-10813</t>
  </si>
  <si>
    <t>ORD-10462</t>
  </si>
  <si>
    <t>ORD-10598</t>
  </si>
  <si>
    <t>ORD-10222</t>
  </si>
  <si>
    <t>ORD-10587</t>
  </si>
  <si>
    <t>ORD-10252</t>
  </si>
  <si>
    <t>ORD-10637</t>
  </si>
  <si>
    <t>ORD-10156</t>
  </si>
  <si>
    <t>ORD-10118</t>
  </si>
  <si>
    <t>ORD-10274</t>
  </si>
  <si>
    <t>ORD-10708</t>
  </si>
  <si>
    <t>ORD-10753</t>
  </si>
  <si>
    <t>ORD-10802</t>
  </si>
  <si>
    <t>ORD-10437</t>
  </si>
  <si>
    <t>ORD-10850</t>
  </si>
  <si>
    <t>ORD-10245</t>
  </si>
  <si>
    <t>N/A</t>
  </si>
  <si>
    <t>Order_ID2</t>
  </si>
  <si>
    <t>Row Labels</t>
  </si>
  <si>
    <t>Grand Total</t>
  </si>
  <si>
    <t>Count of Profit</t>
  </si>
  <si>
    <t>Sum of Net_Revenue</t>
  </si>
  <si>
    <t>الربح الصافي لكل مندوب</t>
  </si>
  <si>
    <t>الربح الصافي لكل حالة طلب</t>
  </si>
  <si>
    <t>الربح الصافي لكل نوع عميل</t>
  </si>
  <si>
    <t>الايراد الصافي بعد الخصم لكل بلد</t>
  </si>
  <si>
    <t>Count of Quantity</t>
  </si>
  <si>
    <t>الكمية المطلوبة لكل منطقة</t>
  </si>
  <si>
    <t>الايراد الصافي لكل طريقة دفع</t>
  </si>
  <si>
    <t>الايراد الاجمالي لكل فئة رئيسية</t>
  </si>
  <si>
    <t>الايراد الاجمالي لكل منطقة</t>
  </si>
  <si>
    <t>الايراد الاجمالي لكل قناة بيع</t>
  </si>
  <si>
    <t>الايراد الاجمالي لكل فئة فرعية</t>
  </si>
  <si>
    <t>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</si>
</sst>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72"/>
      <color theme="5" tint="-0.499984740745262"/>
      <name val="Aptos Narrow"/>
      <family val="2"/>
      <scheme val="minor"/>
    </font>
    <font>
      <sz val="11"/>
      <color theme="5" tint="-0.499984740745262"/>
      <name val="Aptos Narrow"/>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44" fontId="0" fillId="0" borderId="0" xfId="0" applyNumberFormat="1"/>
    <xf numFmtId="1" fontId="0" fillId="0" borderId="0" xfId="0" applyNumberFormat="1"/>
    <xf numFmtId="0" fontId="3" fillId="2" borderId="0" xfId="0" applyFont="1" applyFill="1" applyAlignment="1">
      <alignment horizontal="center" vertical="center"/>
    </xf>
    <xf numFmtId="0" fontId="4" fillId="2" borderId="0" xfId="0" applyFont="1" applyFill="1" applyAlignment="1">
      <alignment horizontal="center" vertical="center"/>
    </xf>
    <xf numFmtId="0" fontId="0" fillId="2" borderId="0" xfId="0" applyFill="1" applyAlignment="1">
      <alignment horizontal="center"/>
    </xf>
    <xf numFmtId="0" fontId="2" fillId="0" borderId="0" xfId="0" applyFont="1" applyAlignment="1">
      <alignment horizontal="center"/>
    </xf>
  </cellXfs>
  <cellStyles count="2">
    <cellStyle name="Normal" xfId="0" builtinId="0"/>
    <cellStyle name="Percent" xfId="1" builtinId="5"/>
  </cellStyles>
  <dxfs count="11">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[YYYYY.xlsx]Pivot table!PivotTable1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Net profit per representative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table'!$B$3</c:f>
              <c:strCache>
                <c:ptCount val="1"/>
                <c:pt idx="0">
                  <c:v>Total</c:v>
                </c:pt>
              </c:strCache>
            </c:strRef>
          </c:tx>
          <c:spPr>
            <a:solidFill>
              <a:schemeClr val="accent4"/>
            </a:solidFill>
            <a:ln>
              <a:noFill/>
            </a:ln>
            <a:effectLst/>
            <a:sp3d/>
          </c:spPr>
          <c:invertIfNegative val="0"/>
          <c:cat>
            <c:strRef>
              <c:f>'Pivot table'!$A$4:$A$16</c:f>
              <c:strCache>
                <c:ptCount val="12"/>
                <c:pt idx="0">
                  <c:v>Ahmed Al-Rashid</c:v>
                </c:pt>
                <c:pt idx="1">
                  <c:v>Carlos Rivera</c:v>
                </c:pt>
                <c:pt idx="2">
                  <c:v>David Kim</c:v>
                </c:pt>
                <c:pt idx="3">
                  <c:v>Emma Thompson</c:v>
                </c:pt>
                <c:pt idx="4">
                  <c:v>Fatima Al-Zahra</c:v>
                </c:pt>
                <c:pt idx="5">
                  <c:v>Hassan Al-Nasser</c:v>
                </c:pt>
                <c:pt idx="6">
                  <c:v>Klaus Weber</c:v>
                </c:pt>
                <c:pt idx="7">
                  <c:v>Lena Müller</c:v>
                </c:pt>
                <c:pt idx="8">
                  <c:v>Maria Gonzalez</c:v>
                </c:pt>
                <c:pt idx="9">
                  <c:v>Mohammed Al-Farsi</c:v>
                </c:pt>
                <c:pt idx="10">
                  <c:v>Sarah Johnson</c:v>
                </c:pt>
                <c:pt idx="11">
                  <c:v>Yuki Tanaka</c:v>
                </c:pt>
              </c:strCache>
            </c:strRef>
          </c:cat>
          <c:val>
            <c:numRef>
              <c:f>'Pivot table'!$B$4:$B$16</c:f>
              <c:numCache>
                <c:formatCode>_("$"* #,##0.00_);_("$"* \(#,##0.00\);_("$"* "-"??_);_(@_)</c:formatCode>
                <c:ptCount val="12"/>
                <c:pt idx="0">
                  <c:v>83</c:v>
                </c:pt>
                <c:pt idx="1">
                  <c:v>88</c:v>
                </c:pt>
                <c:pt idx="2">
                  <c:v>74</c:v>
                </c:pt>
                <c:pt idx="3">
                  <c:v>87</c:v>
                </c:pt>
                <c:pt idx="4">
                  <c:v>95</c:v>
                </c:pt>
                <c:pt idx="5">
                  <c:v>90</c:v>
                </c:pt>
                <c:pt idx="6">
                  <c:v>90</c:v>
                </c:pt>
                <c:pt idx="7">
                  <c:v>88</c:v>
                </c:pt>
                <c:pt idx="8">
                  <c:v>99</c:v>
                </c:pt>
                <c:pt idx="9">
                  <c:v>86</c:v>
                </c:pt>
                <c:pt idx="10">
                  <c:v>71</c:v>
                </c:pt>
                <c:pt idx="11">
                  <c:v>99</c:v>
                </c:pt>
              </c:numCache>
            </c:numRef>
          </c:val>
          <c:extLst>
            <c:ext xmlns:c16="http://schemas.microsoft.com/office/drawing/2014/chart" uri="{C3380CC4-5D6E-409C-BE32-E72D297353CC}">
              <c16:uniqueId val="{00000000-40C1-4ECD-9159-7940250FBF9B}"/>
            </c:ext>
          </c:extLst>
        </c:ser>
        <c:dLbls>
          <c:showLegendKey val="0"/>
          <c:showVal val="0"/>
          <c:showCatName val="0"/>
          <c:showSerName val="0"/>
          <c:showPercent val="0"/>
          <c:showBubbleSize val="0"/>
        </c:dLbls>
        <c:gapWidth val="150"/>
        <c:shape val="box"/>
        <c:axId val="250711151"/>
        <c:axId val="250712111"/>
        <c:axId val="0"/>
      </c:bar3DChart>
      <c:catAx>
        <c:axId val="250711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50712111"/>
        <c:crosses val="autoZero"/>
        <c:auto val="1"/>
        <c:lblAlgn val="ctr"/>
        <c:lblOffset val="100"/>
        <c:noMultiLvlLbl val="0"/>
      </c:catAx>
      <c:valAx>
        <c:axId val="25071211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71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[YYYYY.xlsx]Pivot table!PivotTable2</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Total revenue per major category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table'!$B$26</c:f>
              <c:strCache>
                <c:ptCount val="1"/>
                <c:pt idx="0">
                  <c:v>Total</c:v>
                </c:pt>
              </c:strCache>
            </c:strRef>
          </c:tx>
          <c:spPr>
            <a:solidFill>
              <a:schemeClr val="accent4"/>
            </a:solidFill>
            <a:ln>
              <a:noFill/>
            </a:ln>
            <a:effectLst/>
            <a:sp3d/>
          </c:spPr>
          <c:invertIfNegative val="0"/>
          <c:cat>
            <c:strRef>
              <c:f>'Pivot table'!$A$27:$A$32</c:f>
              <c:strCache>
                <c:ptCount val="5"/>
                <c:pt idx="0">
                  <c:v>Clothing</c:v>
                </c:pt>
                <c:pt idx="1">
                  <c:v>Electronics</c:v>
                </c:pt>
                <c:pt idx="2">
                  <c:v>Food &amp; Beverages</c:v>
                </c:pt>
                <c:pt idx="3">
                  <c:v>Furniture</c:v>
                </c:pt>
                <c:pt idx="4">
                  <c:v>Office Supplies</c:v>
                </c:pt>
              </c:strCache>
            </c:strRef>
          </c:cat>
          <c:val>
            <c:numRef>
              <c:f>'Pivot table'!$B$27:$B$32</c:f>
              <c:numCache>
                <c:formatCode>_("$"* #,##0.00_);_("$"* \(#,##0.00\);_("$"* "-"??_);_(@_)</c:formatCode>
                <c:ptCount val="5"/>
                <c:pt idx="0">
                  <c:v>75008.010999999984</c:v>
                </c:pt>
                <c:pt idx="1">
                  <c:v>359727.7175000002</c:v>
                </c:pt>
                <c:pt idx="2">
                  <c:v>47464.452999999994</c:v>
                </c:pt>
                <c:pt idx="3">
                  <c:v>290822.78349999979</c:v>
                </c:pt>
                <c:pt idx="4">
                  <c:v>282292.98399999988</c:v>
                </c:pt>
              </c:numCache>
            </c:numRef>
          </c:val>
          <c:extLst>
            <c:ext xmlns:c16="http://schemas.microsoft.com/office/drawing/2014/chart" uri="{C3380CC4-5D6E-409C-BE32-E72D297353CC}">
              <c16:uniqueId val="{00000000-57C4-49FA-B7C4-2AEE2F373C7D}"/>
            </c:ext>
          </c:extLst>
        </c:ser>
        <c:dLbls>
          <c:showLegendKey val="0"/>
          <c:showVal val="0"/>
          <c:showCatName val="0"/>
          <c:showSerName val="0"/>
          <c:showPercent val="0"/>
          <c:showBubbleSize val="0"/>
        </c:dLbls>
        <c:gapWidth val="150"/>
        <c:shape val="box"/>
        <c:axId val="992425472"/>
        <c:axId val="1431055183"/>
        <c:axId val="0"/>
      </c:bar3DChart>
      <c:catAx>
        <c:axId val="992425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431055183"/>
        <c:crosses val="autoZero"/>
        <c:auto val="1"/>
        <c:lblAlgn val="ctr"/>
        <c:lblOffset val="100"/>
        <c:noMultiLvlLbl val="0"/>
      </c:catAx>
      <c:valAx>
        <c:axId val="143105518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42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[YYYYY.xlsx]Pivot table!PivotTable3</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Total revenue per subcategory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table'!$B$41</c:f>
              <c:strCache>
                <c:ptCount val="1"/>
                <c:pt idx="0">
                  <c:v>Total</c:v>
                </c:pt>
              </c:strCache>
            </c:strRef>
          </c:tx>
          <c:spPr>
            <a:solidFill>
              <a:schemeClr val="accent4"/>
            </a:solidFill>
            <a:ln>
              <a:noFill/>
            </a:ln>
            <a:effectLst/>
            <a:sp3d/>
          </c:spPr>
          <c:invertIfNegative val="0"/>
          <c:cat>
            <c:strRef>
              <c:f>'Pivot table'!$A$42:$A$66</c:f>
              <c:strCache>
                <c:ptCount val="24"/>
                <c:pt idx="0">
                  <c:v>Accessories</c:v>
                </c:pt>
                <c:pt idx="1">
                  <c:v>Bakery</c:v>
                </c:pt>
                <c:pt idx="2">
                  <c:v>Beverages</c:v>
                </c:pt>
                <c:pt idx="3">
                  <c:v>Cabinets</c:v>
                </c:pt>
                <c:pt idx="4">
                  <c:v>Chairs</c:v>
                </c:pt>
                <c:pt idx="5">
                  <c:v>Coffee</c:v>
                </c:pt>
                <c:pt idx="6">
                  <c:v>Dairy</c:v>
                </c:pt>
                <c:pt idx="7">
                  <c:v>Desks</c:v>
                </c:pt>
                <c:pt idx="8">
                  <c:v>Jackets</c:v>
                </c:pt>
                <c:pt idx="9">
                  <c:v>Laptops</c:v>
                </c:pt>
                <c:pt idx="10">
                  <c:v>Monitors</c:v>
                </c:pt>
                <c:pt idx="11">
                  <c:v>Notebooks</c:v>
                </c:pt>
                <c:pt idx="12">
                  <c:v>Pants</c:v>
                </c:pt>
                <c:pt idx="13">
                  <c:v>Paper</c:v>
                </c:pt>
                <c:pt idx="14">
                  <c:v>Pens</c:v>
                </c:pt>
                <c:pt idx="15">
                  <c:v>Phones</c:v>
                </c:pt>
                <c:pt idx="16">
                  <c:v>Printers</c:v>
                </c:pt>
                <c:pt idx="17">
                  <c:v>Shelves</c:v>
                </c:pt>
                <c:pt idx="18">
                  <c:v>Shirts</c:v>
                </c:pt>
                <c:pt idx="19">
                  <c:v>Shoes</c:v>
                </c:pt>
                <c:pt idx="20">
                  <c:v>Snacks</c:v>
                </c:pt>
                <c:pt idx="21">
                  <c:v>Staples</c:v>
                </c:pt>
                <c:pt idx="22">
                  <c:v>Tables</c:v>
                </c:pt>
                <c:pt idx="23">
                  <c:v>Tablets</c:v>
                </c:pt>
              </c:strCache>
            </c:strRef>
          </c:cat>
          <c:val>
            <c:numRef>
              <c:f>'Pivot table'!$B$42:$B$66</c:f>
              <c:numCache>
                <c:formatCode>_("$"* #,##0.00_);_("$"* \(#,##0.00\);_("$"* "-"??_);_(@_)</c:formatCode>
                <c:ptCount val="24"/>
                <c:pt idx="0">
                  <c:v>15449.110999999997</c:v>
                </c:pt>
                <c:pt idx="1">
                  <c:v>5560.7744999999995</c:v>
                </c:pt>
                <c:pt idx="2">
                  <c:v>10511.510000000004</c:v>
                </c:pt>
                <c:pt idx="3">
                  <c:v>37810.457499999997</c:v>
                </c:pt>
                <c:pt idx="4">
                  <c:v>43267.157000000007</c:v>
                </c:pt>
                <c:pt idx="5">
                  <c:v>14109.3055</c:v>
                </c:pt>
                <c:pt idx="6">
                  <c:v>9244.7124999999978</c:v>
                </c:pt>
                <c:pt idx="7">
                  <c:v>104185.47100000002</c:v>
                </c:pt>
                <c:pt idx="8">
                  <c:v>29437.505000000001</c:v>
                </c:pt>
                <c:pt idx="9">
                  <c:v>171455.617</c:v>
                </c:pt>
                <c:pt idx="10">
                  <c:v>36348.262999999999</c:v>
                </c:pt>
                <c:pt idx="11">
                  <c:v>5917.2389999999996</c:v>
                </c:pt>
                <c:pt idx="12">
                  <c:v>12963.008500000007</c:v>
                </c:pt>
                <c:pt idx="13">
                  <c:v>8217.4444999999996</c:v>
                </c:pt>
                <c:pt idx="14">
                  <c:v>5541.1704999999993</c:v>
                </c:pt>
                <c:pt idx="15">
                  <c:v>89517.557000000001</c:v>
                </c:pt>
                <c:pt idx="16">
                  <c:v>254513.46300000005</c:v>
                </c:pt>
                <c:pt idx="17">
                  <c:v>21249.487500000003</c:v>
                </c:pt>
                <c:pt idx="18">
                  <c:v>9448.1899999999987</c:v>
                </c:pt>
                <c:pt idx="19">
                  <c:v>15263.831999999993</c:v>
                </c:pt>
                <c:pt idx="20">
                  <c:v>8038.1504999999979</c:v>
                </c:pt>
                <c:pt idx="21">
                  <c:v>8103.6669999999986</c:v>
                </c:pt>
                <c:pt idx="22">
                  <c:v>84310.210500000016</c:v>
                </c:pt>
                <c:pt idx="23">
                  <c:v>54852.645000000019</c:v>
                </c:pt>
              </c:numCache>
            </c:numRef>
          </c:val>
          <c:extLst>
            <c:ext xmlns:c16="http://schemas.microsoft.com/office/drawing/2014/chart" uri="{C3380CC4-5D6E-409C-BE32-E72D297353CC}">
              <c16:uniqueId val="{00000000-75BF-493F-B04D-2D45AB82223A}"/>
            </c:ext>
          </c:extLst>
        </c:ser>
        <c:dLbls>
          <c:showLegendKey val="0"/>
          <c:showVal val="0"/>
          <c:showCatName val="0"/>
          <c:showSerName val="0"/>
          <c:showPercent val="0"/>
          <c:showBubbleSize val="0"/>
        </c:dLbls>
        <c:gapWidth val="150"/>
        <c:shape val="box"/>
        <c:axId val="669084976"/>
        <c:axId val="669086416"/>
        <c:axId val="0"/>
      </c:bar3DChart>
      <c:catAx>
        <c:axId val="669084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69086416"/>
        <c:crosses val="autoZero"/>
        <c:auto val="1"/>
        <c:lblAlgn val="ctr"/>
        <c:lblOffset val="100"/>
        <c:noMultiLvlLbl val="0"/>
      </c:catAx>
      <c:valAx>
        <c:axId val="66908641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08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[YYYYY.xlsx]Pivot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Net profit per order case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table'!$B$79</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table'!$A$80:$A$84</c:f>
              <c:strCache>
                <c:ptCount val="4"/>
                <c:pt idx="0">
                  <c:v>Cancelled</c:v>
                </c:pt>
                <c:pt idx="1">
                  <c:v>Completed</c:v>
                </c:pt>
                <c:pt idx="2">
                  <c:v>Pending</c:v>
                </c:pt>
                <c:pt idx="3">
                  <c:v>Returned</c:v>
                </c:pt>
              </c:strCache>
            </c:strRef>
          </c:cat>
          <c:val>
            <c:numRef>
              <c:f>'Pivot table'!$B$80:$B$84</c:f>
              <c:numCache>
                <c:formatCode>_("$"* #,##0.00_);_("$"* \(#,##0.00\);_("$"* "-"??_);_(@_)</c:formatCode>
                <c:ptCount val="4"/>
                <c:pt idx="0">
                  <c:v>181</c:v>
                </c:pt>
                <c:pt idx="1">
                  <c:v>526</c:v>
                </c:pt>
                <c:pt idx="2">
                  <c:v>186</c:v>
                </c:pt>
                <c:pt idx="3">
                  <c:v>157</c:v>
                </c:pt>
              </c:numCache>
            </c:numRef>
          </c:val>
          <c:smooth val="0"/>
          <c:extLst>
            <c:ext xmlns:c16="http://schemas.microsoft.com/office/drawing/2014/chart" uri="{C3380CC4-5D6E-409C-BE32-E72D297353CC}">
              <c16:uniqueId val="{00000000-C739-4158-96A0-CD44D99E96C9}"/>
            </c:ext>
          </c:extLst>
        </c:ser>
        <c:dLbls>
          <c:showLegendKey val="0"/>
          <c:showVal val="0"/>
          <c:showCatName val="0"/>
          <c:showSerName val="0"/>
          <c:showPercent val="0"/>
          <c:showBubbleSize val="0"/>
        </c:dLbls>
        <c:marker val="1"/>
        <c:smooth val="0"/>
        <c:axId val="668038720"/>
        <c:axId val="361141343"/>
      </c:lineChart>
      <c:catAx>
        <c:axId val="66803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41343"/>
        <c:crosses val="autoZero"/>
        <c:auto val="1"/>
        <c:lblAlgn val="ctr"/>
        <c:lblOffset val="100"/>
        <c:noMultiLvlLbl val="0"/>
      </c:catAx>
      <c:valAx>
        <c:axId val="36114134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03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[YYYYY.xlsx]Pivot table!PivotTable5</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Total revenue per sales channel</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table'!$B$94</c:f>
              <c:strCache>
                <c:ptCount val="1"/>
                <c:pt idx="0">
                  <c:v>Total</c:v>
                </c:pt>
              </c:strCache>
            </c:strRef>
          </c:tx>
          <c:spPr>
            <a:solidFill>
              <a:schemeClr val="accent4"/>
            </a:solidFill>
            <a:ln>
              <a:noFill/>
            </a:ln>
            <a:effectLst/>
            <a:sp3d/>
          </c:spPr>
          <c:invertIfNegative val="0"/>
          <c:cat>
            <c:strRef>
              <c:f>'Pivot table'!$A$95:$A$100</c:f>
              <c:strCache>
                <c:ptCount val="5"/>
                <c:pt idx="0">
                  <c:v>Direct Sales</c:v>
                </c:pt>
                <c:pt idx="1">
                  <c:v>Online</c:v>
                </c:pt>
                <c:pt idx="2">
                  <c:v>Partner</c:v>
                </c:pt>
                <c:pt idx="3">
                  <c:v>Retail Store</c:v>
                </c:pt>
                <c:pt idx="4">
                  <c:v>Wholesale</c:v>
                </c:pt>
              </c:strCache>
            </c:strRef>
          </c:cat>
          <c:val>
            <c:numRef>
              <c:f>'Pivot table'!$B$95:$B$100</c:f>
              <c:numCache>
                <c:formatCode>_("$"* #,##0.00_);_("$"* \(#,##0.00\);_("$"* "-"??_);_(@_)</c:formatCode>
                <c:ptCount val="5"/>
                <c:pt idx="0">
                  <c:v>224769.43750000003</c:v>
                </c:pt>
                <c:pt idx="1">
                  <c:v>257533.18899999978</c:v>
                </c:pt>
                <c:pt idx="2">
                  <c:v>185400.32950000002</c:v>
                </c:pt>
                <c:pt idx="3">
                  <c:v>188612.152</c:v>
                </c:pt>
                <c:pt idx="4">
                  <c:v>199000.8409999999</c:v>
                </c:pt>
              </c:numCache>
            </c:numRef>
          </c:val>
          <c:extLst>
            <c:ext xmlns:c16="http://schemas.microsoft.com/office/drawing/2014/chart" uri="{C3380CC4-5D6E-409C-BE32-E72D297353CC}">
              <c16:uniqueId val="{00000000-1783-4314-9936-C65F0A494B61}"/>
            </c:ext>
          </c:extLst>
        </c:ser>
        <c:dLbls>
          <c:showLegendKey val="0"/>
          <c:showVal val="0"/>
          <c:showCatName val="0"/>
          <c:showSerName val="0"/>
          <c:showPercent val="0"/>
          <c:showBubbleSize val="0"/>
        </c:dLbls>
        <c:gapWidth val="150"/>
        <c:shape val="box"/>
        <c:axId val="929634575"/>
        <c:axId val="1155869104"/>
        <c:axId val="0"/>
      </c:bar3DChart>
      <c:catAx>
        <c:axId val="929634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55869104"/>
        <c:crosses val="autoZero"/>
        <c:auto val="1"/>
        <c:lblAlgn val="ctr"/>
        <c:lblOffset val="100"/>
        <c:noMultiLvlLbl val="0"/>
      </c:catAx>
      <c:valAx>
        <c:axId val="115586910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63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[YYYYY.xlsx]Pivot table!PivotTable10</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Total revenue per region</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table'!$B$183</c:f>
              <c:strCache>
                <c:ptCount val="1"/>
                <c:pt idx="0">
                  <c:v>Total</c:v>
                </c:pt>
              </c:strCache>
            </c:strRef>
          </c:tx>
          <c:spPr>
            <a:solidFill>
              <a:schemeClr val="accent4"/>
            </a:solidFill>
            <a:ln>
              <a:noFill/>
            </a:ln>
            <a:effectLst/>
            <a:sp3d/>
          </c:spPr>
          <c:invertIfNegative val="0"/>
          <c:cat>
            <c:strRef>
              <c:f>'Pivot table'!$A$184:$A$189</c:f>
              <c:strCache>
                <c:ptCount val="5"/>
                <c:pt idx="0">
                  <c:v>Central</c:v>
                </c:pt>
                <c:pt idx="1">
                  <c:v>East</c:v>
                </c:pt>
                <c:pt idx="2">
                  <c:v>North</c:v>
                </c:pt>
                <c:pt idx="3">
                  <c:v>South</c:v>
                </c:pt>
                <c:pt idx="4">
                  <c:v>West</c:v>
                </c:pt>
              </c:strCache>
            </c:strRef>
          </c:cat>
          <c:val>
            <c:numRef>
              <c:f>'Pivot table'!$B$184:$B$189</c:f>
              <c:numCache>
                <c:formatCode>_("$"* #,##0.00_);_("$"* \(#,##0.00\);_("$"* "-"??_);_(@_)</c:formatCode>
                <c:ptCount val="5"/>
                <c:pt idx="0">
                  <c:v>197015.11899999992</c:v>
                </c:pt>
                <c:pt idx="1">
                  <c:v>183066.3844999999</c:v>
                </c:pt>
                <c:pt idx="2">
                  <c:v>236804.59199999989</c:v>
                </c:pt>
                <c:pt idx="3">
                  <c:v>195354.69549999997</c:v>
                </c:pt>
                <c:pt idx="4">
                  <c:v>243075.15800000014</c:v>
                </c:pt>
              </c:numCache>
            </c:numRef>
          </c:val>
          <c:extLst>
            <c:ext xmlns:c16="http://schemas.microsoft.com/office/drawing/2014/chart" uri="{C3380CC4-5D6E-409C-BE32-E72D297353CC}">
              <c16:uniqueId val="{00000000-92C4-462B-88E6-4D1A37885F19}"/>
            </c:ext>
          </c:extLst>
        </c:ser>
        <c:dLbls>
          <c:showLegendKey val="0"/>
          <c:showVal val="0"/>
          <c:showCatName val="0"/>
          <c:showSerName val="0"/>
          <c:showPercent val="0"/>
          <c:showBubbleSize val="0"/>
        </c:dLbls>
        <c:gapWidth val="150"/>
        <c:shape val="box"/>
        <c:axId val="688810864"/>
        <c:axId val="1190992544"/>
        <c:axId val="0"/>
      </c:bar3DChart>
      <c:catAx>
        <c:axId val="688810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90992544"/>
        <c:crosses val="autoZero"/>
        <c:auto val="1"/>
        <c:lblAlgn val="ctr"/>
        <c:lblOffset val="100"/>
        <c:noMultiLvlLbl val="0"/>
      </c:catAx>
      <c:valAx>
        <c:axId val="119099254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81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[YYYYY.xlsx]Pivot table!PivotTable9</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Net revenue per payment method</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table'!$B$168</c:f>
              <c:strCache>
                <c:ptCount val="1"/>
                <c:pt idx="0">
                  <c:v>Total</c:v>
                </c:pt>
              </c:strCache>
            </c:strRef>
          </c:tx>
          <c:spPr>
            <a:solidFill>
              <a:schemeClr val="accent4"/>
            </a:solidFill>
            <a:ln>
              <a:noFill/>
            </a:ln>
            <a:effectLst/>
            <a:sp3d/>
          </c:spPr>
          <c:invertIfNegative val="0"/>
          <c:cat>
            <c:strRef>
              <c:f>'Pivot table'!$A$169:$A$174</c:f>
              <c:strCache>
                <c:ptCount val="5"/>
                <c:pt idx="0">
                  <c:v>Bank Transfer</c:v>
                </c:pt>
                <c:pt idx="1">
                  <c:v>Cash</c:v>
                </c:pt>
                <c:pt idx="2">
                  <c:v>Credit Card</c:v>
                </c:pt>
                <c:pt idx="3">
                  <c:v>Invoice</c:v>
                </c:pt>
                <c:pt idx="4">
                  <c:v>PayPal</c:v>
                </c:pt>
              </c:strCache>
            </c:strRef>
          </c:cat>
          <c:val>
            <c:numRef>
              <c:f>'Pivot table'!$B$169:$B$174</c:f>
              <c:numCache>
                <c:formatCode>_("$"* #,##0.00_);_("$"* \(#,##0.00\);_("$"* "-"??_);_(@_)</c:formatCode>
                <c:ptCount val="5"/>
                <c:pt idx="0">
                  <c:v>237728.16649999988</c:v>
                </c:pt>
                <c:pt idx="1">
                  <c:v>224880.20499999978</c:v>
                </c:pt>
                <c:pt idx="2">
                  <c:v>229245.42350000012</c:v>
                </c:pt>
                <c:pt idx="3">
                  <c:v>175697.25100000002</c:v>
                </c:pt>
                <c:pt idx="4">
                  <c:v>187764.90299999999</c:v>
                </c:pt>
              </c:numCache>
            </c:numRef>
          </c:val>
          <c:extLst>
            <c:ext xmlns:c16="http://schemas.microsoft.com/office/drawing/2014/chart" uri="{C3380CC4-5D6E-409C-BE32-E72D297353CC}">
              <c16:uniqueId val="{00000000-545F-4925-8824-D3E103A6C2F4}"/>
            </c:ext>
          </c:extLst>
        </c:ser>
        <c:dLbls>
          <c:showLegendKey val="0"/>
          <c:showVal val="0"/>
          <c:showCatName val="0"/>
          <c:showSerName val="0"/>
          <c:showPercent val="0"/>
          <c:showBubbleSize val="0"/>
        </c:dLbls>
        <c:gapWidth val="150"/>
        <c:shape val="box"/>
        <c:axId val="974157327"/>
        <c:axId val="974157807"/>
        <c:axId val="1151562416"/>
      </c:bar3DChart>
      <c:catAx>
        <c:axId val="974157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74157807"/>
        <c:crosses val="autoZero"/>
        <c:auto val="1"/>
        <c:lblAlgn val="ctr"/>
        <c:lblOffset val="100"/>
        <c:noMultiLvlLbl val="0"/>
      </c:catAx>
      <c:valAx>
        <c:axId val="97415780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157327"/>
        <c:crosses val="autoZero"/>
        <c:crossBetween val="between"/>
      </c:valAx>
      <c:serAx>
        <c:axId val="1151562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15780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[YYYYY.xlsx]Pivot table!PivotTable7</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Net revenue for each country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table'!$B$130</c:f>
              <c:strCache>
                <c:ptCount val="1"/>
                <c:pt idx="0">
                  <c:v>Total</c:v>
                </c:pt>
              </c:strCache>
            </c:strRef>
          </c:tx>
          <c:spPr>
            <a:solidFill>
              <a:schemeClr val="accent4"/>
            </a:solidFill>
            <a:ln>
              <a:noFill/>
            </a:ln>
            <a:effectLst/>
            <a:sp3d/>
          </c:spPr>
          <c:invertIfNegative val="0"/>
          <c:cat>
            <c:strRef>
              <c:f>'Pivot table'!$A$131:$A$146</c:f>
              <c:strCache>
                <c:ptCount val="15"/>
                <c:pt idx="0">
                  <c:v>Austria</c:v>
                </c:pt>
                <c:pt idx="1">
                  <c:v>Belgium</c:v>
                </c:pt>
                <c:pt idx="2">
                  <c:v>Czech Republic</c:v>
                </c:pt>
                <c:pt idx="3">
                  <c:v>France</c:v>
                </c:pt>
                <c:pt idx="4">
                  <c:v>Germany</c:v>
                </c:pt>
                <c:pt idx="5">
                  <c:v>Greece</c:v>
                </c:pt>
                <c:pt idx="6">
                  <c:v>Hungary</c:v>
                </c:pt>
                <c:pt idx="7">
                  <c:v>Italy</c:v>
                </c:pt>
                <c:pt idx="8">
                  <c:v>Netherlands</c:v>
                </c:pt>
                <c:pt idx="9">
                  <c:v>Poland</c:v>
                </c:pt>
                <c:pt idx="10">
                  <c:v>Slovakia</c:v>
                </c:pt>
                <c:pt idx="11">
                  <c:v>Spain</c:v>
                </c:pt>
                <c:pt idx="12">
                  <c:v>Sweden</c:v>
                </c:pt>
                <c:pt idx="13">
                  <c:v>Switzerland</c:v>
                </c:pt>
                <c:pt idx="14">
                  <c:v>UK</c:v>
                </c:pt>
              </c:strCache>
            </c:strRef>
          </c:cat>
          <c:val>
            <c:numRef>
              <c:f>'Pivot table'!$B$131:$B$146</c:f>
              <c:numCache>
                <c:formatCode>_("$"* #,##0.00_);_("$"* \(#,##0.00\);_("$"* "-"??_);_(@_)</c:formatCode>
                <c:ptCount val="15"/>
                <c:pt idx="0">
                  <c:v>65494.743499999975</c:v>
                </c:pt>
                <c:pt idx="1">
                  <c:v>81099.517999999996</c:v>
                </c:pt>
                <c:pt idx="2">
                  <c:v>36453.398999999998</c:v>
                </c:pt>
                <c:pt idx="3">
                  <c:v>73397.311000000002</c:v>
                </c:pt>
                <c:pt idx="4">
                  <c:v>78103.917999999991</c:v>
                </c:pt>
                <c:pt idx="5">
                  <c:v>50034.728999999999</c:v>
                </c:pt>
                <c:pt idx="6">
                  <c:v>64369.518999999993</c:v>
                </c:pt>
                <c:pt idx="7">
                  <c:v>72730.693500000023</c:v>
                </c:pt>
                <c:pt idx="8">
                  <c:v>70805.849499999997</c:v>
                </c:pt>
                <c:pt idx="9">
                  <c:v>82243.466499999995</c:v>
                </c:pt>
                <c:pt idx="10">
                  <c:v>55447.293500000007</c:v>
                </c:pt>
                <c:pt idx="11">
                  <c:v>72589.273000000016</c:v>
                </c:pt>
                <c:pt idx="12">
                  <c:v>87894.824499999988</c:v>
                </c:pt>
                <c:pt idx="13">
                  <c:v>76073.082000000024</c:v>
                </c:pt>
                <c:pt idx="14">
                  <c:v>88578.329000000042</c:v>
                </c:pt>
              </c:numCache>
            </c:numRef>
          </c:val>
          <c:extLst>
            <c:ext xmlns:c16="http://schemas.microsoft.com/office/drawing/2014/chart" uri="{C3380CC4-5D6E-409C-BE32-E72D297353CC}">
              <c16:uniqueId val="{00000000-0E74-4933-BC60-19D6348E2086}"/>
            </c:ext>
          </c:extLst>
        </c:ser>
        <c:dLbls>
          <c:showLegendKey val="0"/>
          <c:showVal val="0"/>
          <c:showCatName val="0"/>
          <c:showSerName val="0"/>
          <c:showPercent val="0"/>
          <c:showBubbleSize val="0"/>
        </c:dLbls>
        <c:gapWidth val="150"/>
        <c:shape val="box"/>
        <c:axId val="987441216"/>
        <c:axId val="1150102064"/>
        <c:axId val="0"/>
      </c:bar3DChart>
      <c:catAx>
        <c:axId val="987441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50102064"/>
        <c:crosses val="autoZero"/>
        <c:auto val="1"/>
        <c:lblAlgn val="ctr"/>
        <c:lblOffset val="100"/>
        <c:noMultiLvlLbl val="0"/>
      </c:catAx>
      <c:valAx>
        <c:axId val="115010206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44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[YYYYY.xlsx]Pivot table!PivotTable6</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Net profit per customer type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table'!$B$113</c:f>
              <c:strCache>
                <c:ptCount val="1"/>
                <c:pt idx="0">
                  <c:v>Total</c:v>
                </c:pt>
              </c:strCache>
            </c:strRef>
          </c:tx>
          <c:spPr>
            <a:solidFill>
              <a:schemeClr val="accent4"/>
            </a:solidFill>
            <a:ln>
              <a:noFill/>
            </a:ln>
            <a:effectLst/>
            <a:sp3d/>
          </c:spPr>
          <c:invertIfNegative val="0"/>
          <c:cat>
            <c:strRef>
              <c:f>'Pivot table'!$A$114:$A$118</c:f>
              <c:strCache>
                <c:ptCount val="4"/>
                <c:pt idx="0">
                  <c:v>Corporate</c:v>
                </c:pt>
                <c:pt idx="1">
                  <c:v>Government</c:v>
                </c:pt>
                <c:pt idx="2">
                  <c:v>Individual</c:v>
                </c:pt>
                <c:pt idx="3">
                  <c:v>SMB</c:v>
                </c:pt>
              </c:strCache>
            </c:strRef>
          </c:cat>
          <c:val>
            <c:numRef>
              <c:f>'Pivot table'!$B$114:$B$118</c:f>
              <c:numCache>
                <c:formatCode>_("$"* #,##0.00_);_("$"* \(#,##0.00\);_("$"* "-"??_);_(@_)</c:formatCode>
                <c:ptCount val="4"/>
                <c:pt idx="0">
                  <c:v>257109.0094999999</c:v>
                </c:pt>
                <c:pt idx="1">
                  <c:v>260392.64599999992</c:v>
                </c:pt>
                <c:pt idx="2">
                  <c:v>263639.19849999988</c:v>
                </c:pt>
                <c:pt idx="3">
                  <c:v>274175.09500000003</c:v>
                </c:pt>
              </c:numCache>
            </c:numRef>
          </c:val>
          <c:extLst>
            <c:ext xmlns:c16="http://schemas.microsoft.com/office/drawing/2014/chart" uri="{C3380CC4-5D6E-409C-BE32-E72D297353CC}">
              <c16:uniqueId val="{00000000-6713-4E62-B229-75267FF83EC1}"/>
            </c:ext>
          </c:extLst>
        </c:ser>
        <c:dLbls>
          <c:showLegendKey val="0"/>
          <c:showVal val="0"/>
          <c:showCatName val="0"/>
          <c:showSerName val="0"/>
          <c:showPercent val="0"/>
          <c:showBubbleSize val="0"/>
        </c:dLbls>
        <c:gapWidth val="150"/>
        <c:shape val="box"/>
        <c:axId val="250539439"/>
        <c:axId val="250537519"/>
        <c:axId val="1190073264"/>
      </c:bar3DChart>
      <c:catAx>
        <c:axId val="250539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50537519"/>
        <c:crosses val="autoZero"/>
        <c:auto val="1"/>
        <c:lblAlgn val="ctr"/>
        <c:lblOffset val="100"/>
        <c:noMultiLvlLbl val="0"/>
      </c:catAx>
      <c:valAx>
        <c:axId val="2505375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539439"/>
        <c:crosses val="autoZero"/>
        <c:crossBetween val="between"/>
      </c:valAx>
      <c:serAx>
        <c:axId val="11900732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53751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[YYYYY.xlsx]Pivot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 required for each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table'!$B$155</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table'!$A$156:$A$161</c:f>
              <c:strCache>
                <c:ptCount val="5"/>
                <c:pt idx="0">
                  <c:v>Central</c:v>
                </c:pt>
                <c:pt idx="1">
                  <c:v>East</c:v>
                </c:pt>
                <c:pt idx="2">
                  <c:v>North</c:v>
                </c:pt>
                <c:pt idx="3">
                  <c:v>South</c:v>
                </c:pt>
                <c:pt idx="4">
                  <c:v>West</c:v>
                </c:pt>
              </c:strCache>
            </c:strRef>
          </c:cat>
          <c:val>
            <c:numRef>
              <c:f>'Pivot table'!$B$156:$B$161</c:f>
              <c:numCache>
                <c:formatCode>0</c:formatCode>
                <c:ptCount val="5"/>
                <c:pt idx="0">
                  <c:v>204</c:v>
                </c:pt>
                <c:pt idx="1">
                  <c:v>198</c:v>
                </c:pt>
                <c:pt idx="2">
                  <c:v>211</c:v>
                </c:pt>
                <c:pt idx="3">
                  <c:v>197</c:v>
                </c:pt>
                <c:pt idx="4">
                  <c:v>223</c:v>
                </c:pt>
              </c:numCache>
            </c:numRef>
          </c:val>
          <c:smooth val="0"/>
          <c:extLst>
            <c:ext xmlns:c16="http://schemas.microsoft.com/office/drawing/2014/chart" uri="{C3380CC4-5D6E-409C-BE32-E72D297353CC}">
              <c16:uniqueId val="{00000000-4B5C-4D2B-B00B-664E2B9B0EA0}"/>
            </c:ext>
          </c:extLst>
        </c:ser>
        <c:dLbls>
          <c:showLegendKey val="0"/>
          <c:showVal val="0"/>
          <c:showCatName val="0"/>
          <c:showSerName val="0"/>
          <c:showPercent val="0"/>
          <c:showBubbleSize val="0"/>
        </c:dLbls>
        <c:marker val="1"/>
        <c:smooth val="0"/>
        <c:axId val="1467691087"/>
        <c:axId val="1467693007"/>
      </c:lineChart>
      <c:catAx>
        <c:axId val="146769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693007"/>
        <c:crosses val="autoZero"/>
        <c:auto val="1"/>
        <c:lblAlgn val="ctr"/>
        <c:lblOffset val="100"/>
        <c:noMultiLvlLbl val="0"/>
      </c:catAx>
      <c:valAx>
        <c:axId val="14676930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69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[YYYYY.xlsx]Pivot table!PivotTable8</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Quantity required for each area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table'!$B$155</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table'!$A$156:$A$161</c:f>
              <c:strCache>
                <c:ptCount val="5"/>
                <c:pt idx="0">
                  <c:v>Central</c:v>
                </c:pt>
                <c:pt idx="1">
                  <c:v>East</c:v>
                </c:pt>
                <c:pt idx="2">
                  <c:v>North</c:v>
                </c:pt>
                <c:pt idx="3">
                  <c:v>South</c:v>
                </c:pt>
                <c:pt idx="4">
                  <c:v>West</c:v>
                </c:pt>
              </c:strCache>
            </c:strRef>
          </c:cat>
          <c:val>
            <c:numRef>
              <c:f>'Pivot table'!$B$156:$B$161</c:f>
              <c:numCache>
                <c:formatCode>0</c:formatCode>
                <c:ptCount val="5"/>
                <c:pt idx="0">
                  <c:v>204</c:v>
                </c:pt>
                <c:pt idx="1">
                  <c:v>198</c:v>
                </c:pt>
                <c:pt idx="2">
                  <c:v>211</c:v>
                </c:pt>
                <c:pt idx="3">
                  <c:v>197</c:v>
                </c:pt>
                <c:pt idx="4">
                  <c:v>223</c:v>
                </c:pt>
              </c:numCache>
            </c:numRef>
          </c:val>
          <c:smooth val="0"/>
          <c:extLst>
            <c:ext xmlns:c16="http://schemas.microsoft.com/office/drawing/2014/chart" uri="{C3380CC4-5D6E-409C-BE32-E72D297353CC}">
              <c16:uniqueId val="{00000000-74A4-45F1-A176-92D708170505}"/>
            </c:ext>
          </c:extLst>
        </c:ser>
        <c:dLbls>
          <c:dLblPos val="ctr"/>
          <c:showLegendKey val="0"/>
          <c:showVal val="1"/>
          <c:showCatName val="0"/>
          <c:showSerName val="0"/>
          <c:showPercent val="0"/>
          <c:showBubbleSize val="0"/>
        </c:dLbls>
        <c:marker val="1"/>
        <c:smooth val="0"/>
        <c:axId val="1467691087"/>
        <c:axId val="1467693007"/>
      </c:lineChart>
      <c:catAx>
        <c:axId val="14676910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693007"/>
        <c:crosses val="autoZero"/>
        <c:auto val="1"/>
        <c:lblAlgn val="ctr"/>
        <c:lblOffset val="100"/>
        <c:noMultiLvlLbl val="0"/>
      </c:catAx>
      <c:valAx>
        <c:axId val="14676930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69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[YYYYY.xlsx]Pivot table!PivotTable9</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Net revenue per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table'!$B$168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table'!$A$169:$A$174</c:f>
              <c:strCache>
                <c:ptCount val="5"/>
                <c:pt idx="0">
                  <c:v>Bank Transfer</c:v>
                </c:pt>
                <c:pt idx="1">
                  <c:v>Cash</c:v>
                </c:pt>
                <c:pt idx="2">
                  <c:v>Credit Card</c:v>
                </c:pt>
                <c:pt idx="3">
                  <c:v>Invoice</c:v>
                </c:pt>
                <c:pt idx="4">
                  <c:v>PayPal</c:v>
                </c:pt>
              </c:strCache>
            </c:strRef>
          </c:cat>
          <c:val>
            <c:numRef>
              <c:f>'Pivot table'!$B$169:$B$174</c:f>
              <c:numCache>
                <c:formatCode>_("$"* #,##0.00_);_("$"* \(#,##0.00\);_("$"* "-"??_);_(@_)</c:formatCode>
                <c:ptCount val="5"/>
                <c:pt idx="0">
                  <c:v>237728.16649999988</c:v>
                </c:pt>
                <c:pt idx="1">
                  <c:v>224880.20499999978</c:v>
                </c:pt>
                <c:pt idx="2">
                  <c:v>229245.42350000012</c:v>
                </c:pt>
                <c:pt idx="3">
                  <c:v>175697.25100000002</c:v>
                </c:pt>
                <c:pt idx="4">
                  <c:v>187764.90299999999</c:v>
                </c:pt>
              </c:numCache>
            </c:numRef>
          </c:val>
          <c:extLst>
            <c:ext xmlns:c16="http://schemas.microsoft.com/office/drawing/2014/chart" uri="{C3380CC4-5D6E-409C-BE32-E72D297353CC}">
              <c16:uniqueId val="{00000000-D98B-4E8B-9C39-B340E5954EFB}"/>
            </c:ext>
          </c:extLst>
        </c:ser>
        <c:dLbls>
          <c:showLegendKey val="0"/>
          <c:showVal val="0"/>
          <c:showCatName val="0"/>
          <c:showSerName val="0"/>
          <c:showPercent val="0"/>
          <c:showBubbleSize val="0"/>
        </c:dLbls>
        <c:gapWidth val="150"/>
        <c:shape val="box"/>
        <c:axId val="974157327"/>
        <c:axId val="974157807"/>
        <c:axId val="1151562416"/>
      </c:bar3DChart>
      <c:catAx>
        <c:axId val="9741573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157807"/>
        <c:crosses val="autoZero"/>
        <c:auto val="1"/>
        <c:lblAlgn val="ctr"/>
        <c:lblOffset val="100"/>
        <c:noMultiLvlLbl val="0"/>
      </c:catAx>
      <c:valAx>
        <c:axId val="97415780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157327"/>
        <c:crosses val="autoZero"/>
        <c:crossBetween val="between"/>
      </c:valAx>
      <c:serAx>
        <c:axId val="1151562416"/>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15780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[YYYYY.xlsx]Pivot table!PivotTable10</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revenue per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table'!$B$183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table'!$A$184:$A$189</c:f>
              <c:strCache>
                <c:ptCount val="5"/>
                <c:pt idx="0">
                  <c:v>Central</c:v>
                </c:pt>
                <c:pt idx="1">
                  <c:v>East</c:v>
                </c:pt>
                <c:pt idx="2">
                  <c:v>North</c:v>
                </c:pt>
                <c:pt idx="3">
                  <c:v>South</c:v>
                </c:pt>
                <c:pt idx="4">
                  <c:v>West</c:v>
                </c:pt>
              </c:strCache>
            </c:strRef>
          </c:cat>
          <c:val>
            <c:numRef>
              <c:f>'Pivot table'!$B$184:$B$189</c:f>
              <c:numCache>
                <c:formatCode>_("$"* #,##0.00_);_("$"* \(#,##0.00\);_("$"* "-"??_);_(@_)</c:formatCode>
                <c:ptCount val="5"/>
                <c:pt idx="0">
                  <c:v>197015.11899999992</c:v>
                </c:pt>
                <c:pt idx="1">
                  <c:v>183066.3844999999</c:v>
                </c:pt>
                <c:pt idx="2">
                  <c:v>236804.59199999989</c:v>
                </c:pt>
                <c:pt idx="3">
                  <c:v>195354.69549999997</c:v>
                </c:pt>
                <c:pt idx="4">
                  <c:v>243075.15800000014</c:v>
                </c:pt>
              </c:numCache>
            </c:numRef>
          </c:val>
          <c:extLst>
            <c:ext xmlns:c16="http://schemas.microsoft.com/office/drawing/2014/chart" uri="{C3380CC4-5D6E-409C-BE32-E72D297353CC}">
              <c16:uniqueId val="{00000000-F901-4663-9025-0479A2A71F1E}"/>
            </c:ext>
          </c:extLst>
        </c:ser>
        <c:dLbls>
          <c:showLegendKey val="0"/>
          <c:showVal val="0"/>
          <c:showCatName val="0"/>
          <c:showSerName val="0"/>
          <c:showPercent val="0"/>
          <c:showBubbleSize val="0"/>
        </c:dLbls>
        <c:gapWidth val="150"/>
        <c:shape val="box"/>
        <c:axId val="688810864"/>
        <c:axId val="1190992544"/>
        <c:axId val="0"/>
      </c:bar3DChart>
      <c:catAx>
        <c:axId val="6888108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92544"/>
        <c:crosses val="autoZero"/>
        <c:auto val="1"/>
        <c:lblAlgn val="ctr"/>
        <c:lblOffset val="100"/>
        <c:noMultiLvlLbl val="0"/>
      </c:catAx>
      <c:valAx>
        <c:axId val="119099254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81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[YYYYY.xlsx]Pivot table!PivotTable6</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Net profit per customer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table'!$B$113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table'!$A$114:$A$118</c:f>
              <c:strCache>
                <c:ptCount val="4"/>
                <c:pt idx="0">
                  <c:v>Corporate</c:v>
                </c:pt>
                <c:pt idx="1">
                  <c:v>Government</c:v>
                </c:pt>
                <c:pt idx="2">
                  <c:v>Individual</c:v>
                </c:pt>
                <c:pt idx="3">
                  <c:v>SMB</c:v>
                </c:pt>
              </c:strCache>
            </c:strRef>
          </c:cat>
          <c:val>
            <c:numRef>
              <c:f>'Pivot table'!$B$114:$B$118</c:f>
              <c:numCache>
                <c:formatCode>_("$"* #,##0.00_);_("$"* \(#,##0.00\);_("$"* "-"??_);_(@_)</c:formatCode>
                <c:ptCount val="4"/>
                <c:pt idx="0">
                  <c:v>257109.0094999999</c:v>
                </c:pt>
                <c:pt idx="1">
                  <c:v>260392.64599999992</c:v>
                </c:pt>
                <c:pt idx="2">
                  <c:v>263639.19849999988</c:v>
                </c:pt>
                <c:pt idx="3">
                  <c:v>274175.09500000003</c:v>
                </c:pt>
              </c:numCache>
            </c:numRef>
          </c:val>
          <c:extLst>
            <c:ext xmlns:c16="http://schemas.microsoft.com/office/drawing/2014/chart" uri="{C3380CC4-5D6E-409C-BE32-E72D297353CC}">
              <c16:uniqueId val="{00000000-0936-417E-8F69-2312E60C193E}"/>
            </c:ext>
          </c:extLst>
        </c:ser>
        <c:dLbls>
          <c:showLegendKey val="0"/>
          <c:showVal val="0"/>
          <c:showCatName val="0"/>
          <c:showSerName val="0"/>
          <c:showPercent val="0"/>
          <c:showBubbleSize val="0"/>
        </c:dLbls>
        <c:gapWidth val="150"/>
        <c:shape val="box"/>
        <c:axId val="250539439"/>
        <c:axId val="250537519"/>
        <c:axId val="1190073264"/>
      </c:bar3DChart>
      <c:catAx>
        <c:axId val="2505394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537519"/>
        <c:crosses val="autoZero"/>
        <c:auto val="1"/>
        <c:lblAlgn val="ctr"/>
        <c:lblOffset val="100"/>
        <c:noMultiLvlLbl val="0"/>
      </c:catAx>
      <c:valAx>
        <c:axId val="25053751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539439"/>
        <c:crosses val="autoZero"/>
        <c:crossBetween val="between"/>
      </c:valAx>
      <c:serAx>
        <c:axId val="1190073264"/>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53751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[YYYYY.xlsx]Pivot table!PivotTable7</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Net revenue for each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table'!$B$130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table'!$A$131:$A$146</c:f>
              <c:strCache>
                <c:ptCount val="15"/>
                <c:pt idx="0">
                  <c:v>Austria</c:v>
                </c:pt>
                <c:pt idx="1">
                  <c:v>Belgium</c:v>
                </c:pt>
                <c:pt idx="2">
                  <c:v>Czech Republic</c:v>
                </c:pt>
                <c:pt idx="3">
                  <c:v>France</c:v>
                </c:pt>
                <c:pt idx="4">
                  <c:v>Germany</c:v>
                </c:pt>
                <c:pt idx="5">
                  <c:v>Greece</c:v>
                </c:pt>
                <c:pt idx="6">
                  <c:v>Hungary</c:v>
                </c:pt>
                <c:pt idx="7">
                  <c:v>Italy</c:v>
                </c:pt>
                <c:pt idx="8">
                  <c:v>Netherlands</c:v>
                </c:pt>
                <c:pt idx="9">
                  <c:v>Poland</c:v>
                </c:pt>
                <c:pt idx="10">
                  <c:v>Slovakia</c:v>
                </c:pt>
                <c:pt idx="11">
                  <c:v>Spain</c:v>
                </c:pt>
                <c:pt idx="12">
                  <c:v>Sweden</c:v>
                </c:pt>
                <c:pt idx="13">
                  <c:v>Switzerland</c:v>
                </c:pt>
                <c:pt idx="14">
                  <c:v>UK</c:v>
                </c:pt>
              </c:strCache>
            </c:strRef>
          </c:cat>
          <c:val>
            <c:numRef>
              <c:f>'Pivot table'!$B$131:$B$146</c:f>
              <c:numCache>
                <c:formatCode>_("$"* #,##0.00_);_("$"* \(#,##0.00\);_("$"* "-"??_);_(@_)</c:formatCode>
                <c:ptCount val="15"/>
                <c:pt idx="0">
                  <c:v>65494.743499999975</c:v>
                </c:pt>
                <c:pt idx="1">
                  <c:v>81099.517999999996</c:v>
                </c:pt>
                <c:pt idx="2">
                  <c:v>36453.398999999998</c:v>
                </c:pt>
                <c:pt idx="3">
                  <c:v>73397.311000000002</c:v>
                </c:pt>
                <c:pt idx="4">
                  <c:v>78103.917999999991</c:v>
                </c:pt>
                <c:pt idx="5">
                  <c:v>50034.728999999999</c:v>
                </c:pt>
                <c:pt idx="6">
                  <c:v>64369.518999999993</c:v>
                </c:pt>
                <c:pt idx="7">
                  <c:v>72730.693500000023</c:v>
                </c:pt>
                <c:pt idx="8">
                  <c:v>70805.849499999997</c:v>
                </c:pt>
                <c:pt idx="9">
                  <c:v>82243.466499999995</c:v>
                </c:pt>
                <c:pt idx="10">
                  <c:v>55447.293500000007</c:v>
                </c:pt>
                <c:pt idx="11">
                  <c:v>72589.273000000016</c:v>
                </c:pt>
                <c:pt idx="12">
                  <c:v>87894.824499999988</c:v>
                </c:pt>
                <c:pt idx="13">
                  <c:v>76073.082000000024</c:v>
                </c:pt>
                <c:pt idx="14">
                  <c:v>88578.329000000042</c:v>
                </c:pt>
              </c:numCache>
            </c:numRef>
          </c:val>
          <c:extLst>
            <c:ext xmlns:c16="http://schemas.microsoft.com/office/drawing/2014/chart" uri="{C3380CC4-5D6E-409C-BE32-E72D297353CC}">
              <c16:uniqueId val="{00000000-5C36-4139-849A-77848FBE63B7}"/>
            </c:ext>
          </c:extLst>
        </c:ser>
        <c:dLbls>
          <c:showLegendKey val="0"/>
          <c:showVal val="0"/>
          <c:showCatName val="0"/>
          <c:showSerName val="0"/>
          <c:showPercent val="0"/>
          <c:showBubbleSize val="0"/>
        </c:dLbls>
        <c:gapWidth val="150"/>
        <c:shape val="box"/>
        <c:axId val="987441216"/>
        <c:axId val="1150102064"/>
        <c:axId val="0"/>
      </c:bar3DChart>
      <c:catAx>
        <c:axId val="9874412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02064"/>
        <c:crosses val="autoZero"/>
        <c:auto val="1"/>
        <c:lblAlgn val="ctr"/>
        <c:lblOffset val="100"/>
        <c:noMultiLvlLbl val="0"/>
      </c:catAx>
      <c:valAx>
        <c:axId val="115010206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44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485774</xdr:colOff>
      <xdr:row>1</xdr:row>
      <xdr:rowOff>166686</xdr:rowOff>
    </xdr:from>
    <xdr:to>
      <xdr:col>15</xdr:col>
      <xdr:colOff>314325</xdr:colOff>
      <xdr:row>23</xdr:row>
      <xdr:rowOff>38099</xdr:rowOff>
    </xdr:to>
    <xdr:graphicFrame macro="">
      <xdr:nvGraphicFramePr>
        <xdr:cNvPr id="2" name="Chart 1">
          <a:extLst>
            <a:ext uri="{FF2B5EF4-FFF2-40B4-BE49-F238E27FC236}">
              <a16:creationId xmlns:a16="http://schemas.microsoft.com/office/drawing/2014/main" id="{39CA2537-2116-2F0C-DC7B-BD530A13E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161925</xdr:colOff>
      <xdr:row>22</xdr:row>
      <xdr:rowOff>147637</xdr:rowOff>
    </xdr:from>
    <xdr:to>
      <xdr:col>17</xdr:col>
      <xdr:colOff>466725</xdr:colOff>
      <xdr:row>37</xdr:row>
      <xdr:rowOff>33337</xdr:rowOff>
    </xdr:to>
    <xdr:graphicFrame macro="">
      <xdr:nvGraphicFramePr>
        <xdr:cNvPr id="3" name="Chart 2">
          <a:extLst>
            <a:ext uri="{FF2B5EF4-FFF2-40B4-BE49-F238E27FC236}">
              <a16:creationId xmlns:a16="http://schemas.microsoft.com/office/drawing/2014/main" id="{D39D4CA0-08E3-E3D5-E0F0-C6F0A7209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323849</xdr:colOff>
      <xdr:row>33</xdr:row>
      <xdr:rowOff>90487</xdr:rowOff>
    </xdr:from>
    <xdr:to>
      <xdr:col>24</xdr:col>
      <xdr:colOff>285750</xdr:colOff>
      <xdr:row>61</xdr:row>
      <xdr:rowOff>1</xdr:rowOff>
    </xdr:to>
    <xdr:graphicFrame macro="">
      <xdr:nvGraphicFramePr>
        <xdr:cNvPr id="4" name="Chart 3">
          <a:extLst>
            <a:ext uri="{FF2B5EF4-FFF2-40B4-BE49-F238E27FC236}">
              <a16:creationId xmlns:a16="http://schemas.microsoft.com/office/drawing/2014/main" id="{E89CB1AE-12B7-8F87-0148-17CF2CD4A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1085850</xdr:colOff>
      <xdr:row>71</xdr:row>
      <xdr:rowOff>138112</xdr:rowOff>
    </xdr:from>
    <xdr:to>
      <xdr:col>7</xdr:col>
      <xdr:colOff>533400</xdr:colOff>
      <xdr:row>86</xdr:row>
      <xdr:rowOff>23812</xdr:rowOff>
    </xdr:to>
    <xdr:graphicFrame macro="">
      <xdr:nvGraphicFramePr>
        <xdr:cNvPr id="5" name="Chart 4">
          <a:extLst>
            <a:ext uri="{FF2B5EF4-FFF2-40B4-BE49-F238E27FC236}">
              <a16:creationId xmlns:a16="http://schemas.microsoft.com/office/drawing/2014/main" id="{40B3B43C-DAE1-1C73-29EA-FF9785EFD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481012</xdr:colOff>
      <xdr:row>88</xdr:row>
      <xdr:rowOff>71437</xdr:rowOff>
    </xdr:from>
    <xdr:to>
      <xdr:col>10</xdr:col>
      <xdr:colOff>485775</xdr:colOff>
      <xdr:row>107</xdr:row>
      <xdr:rowOff>85725</xdr:rowOff>
    </xdr:to>
    <xdr:graphicFrame macro="">
      <xdr:nvGraphicFramePr>
        <xdr:cNvPr id="6" name="Chart 5">
          <a:extLst>
            <a:ext uri="{FF2B5EF4-FFF2-40B4-BE49-F238E27FC236}">
              <a16:creationId xmlns:a16="http://schemas.microsoft.com/office/drawing/2014/main" id="{2F7511F7-69DB-05E4-996B-395A617764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261937</xdr:colOff>
      <xdr:row>179</xdr:row>
      <xdr:rowOff>90487</xdr:rowOff>
    </xdr:from>
    <xdr:to>
      <xdr:col>13</xdr:col>
      <xdr:colOff>209550</xdr:colOff>
      <xdr:row>193</xdr:row>
      <xdr:rowOff>166687</xdr:rowOff>
    </xdr:to>
    <xdr:graphicFrame macro="">
      <xdr:nvGraphicFramePr>
        <xdr:cNvPr id="7" name="Chart 6">
          <a:extLst>
            <a:ext uri="{FF2B5EF4-FFF2-40B4-BE49-F238E27FC236}">
              <a16:creationId xmlns:a16="http://schemas.microsoft.com/office/drawing/2014/main" id="{FC35F11D-B713-67C5-B209-2A91C2352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95249</xdr:colOff>
      <xdr:row>160</xdr:row>
      <xdr:rowOff>76200</xdr:rowOff>
    </xdr:from>
    <xdr:to>
      <xdr:col>9</xdr:col>
      <xdr:colOff>361949</xdr:colOff>
      <xdr:row>178</xdr:row>
      <xdr:rowOff>176212</xdr:rowOff>
    </xdr:to>
    <xdr:graphicFrame macro="">
      <xdr:nvGraphicFramePr>
        <xdr:cNvPr id="8" name="Chart 7">
          <a:extLst>
            <a:ext uri="{FF2B5EF4-FFF2-40B4-BE49-F238E27FC236}">
              <a16:creationId xmlns:a16="http://schemas.microsoft.com/office/drawing/2014/main" id="{4D37F39B-B3D0-67CD-CA2F-336650C261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295274</xdr:colOff>
      <xdr:row>128</xdr:row>
      <xdr:rowOff>57150</xdr:rowOff>
    </xdr:from>
    <xdr:to>
      <xdr:col>16</xdr:col>
      <xdr:colOff>523875</xdr:colOff>
      <xdr:row>147</xdr:row>
      <xdr:rowOff>52387</xdr:rowOff>
    </xdr:to>
    <xdr:graphicFrame macro="">
      <xdr:nvGraphicFramePr>
        <xdr:cNvPr id="9" name="Chart 8">
          <a:extLst>
            <a:ext uri="{FF2B5EF4-FFF2-40B4-BE49-F238E27FC236}">
              <a16:creationId xmlns:a16="http://schemas.microsoft.com/office/drawing/2014/main" id="{A4B71A92-DA88-D867-F996-2959AA7D4D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1119187</xdr:colOff>
      <xdr:row>108</xdr:row>
      <xdr:rowOff>185737</xdr:rowOff>
    </xdr:from>
    <xdr:to>
      <xdr:col>7</xdr:col>
      <xdr:colOff>566737</xdr:colOff>
      <xdr:row>123</xdr:row>
      <xdr:rowOff>71437</xdr:rowOff>
    </xdr:to>
    <xdr:graphicFrame macro="">
      <xdr:nvGraphicFramePr>
        <xdr:cNvPr id="11" name="Chart 10">
          <a:extLst>
            <a:ext uri="{FF2B5EF4-FFF2-40B4-BE49-F238E27FC236}">
              <a16:creationId xmlns:a16="http://schemas.microsoft.com/office/drawing/2014/main" id="{B74372B0-9093-4B5C-16BE-850BE8952C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1109662</xdr:colOff>
      <xdr:row>147</xdr:row>
      <xdr:rowOff>138112</xdr:rowOff>
    </xdr:from>
    <xdr:to>
      <xdr:col>7</xdr:col>
      <xdr:colOff>557212</xdr:colOff>
      <xdr:row>162</xdr:row>
      <xdr:rowOff>23812</xdr:rowOff>
    </xdr:to>
    <xdr:graphicFrame macro="">
      <xdr:nvGraphicFramePr>
        <xdr:cNvPr id="12" name="Chart 11">
          <a:extLst>
            <a:ext uri="{FF2B5EF4-FFF2-40B4-BE49-F238E27FC236}">
              <a16:creationId xmlns:a16="http://schemas.microsoft.com/office/drawing/2014/main" id="{9AD9CAA1-A639-F60A-9EAC-5BDDC8288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8</xdr:row>
      <xdr:rowOff>190499</xdr:rowOff>
    </xdr:from>
    <xdr:to>
      <xdr:col>9</xdr:col>
      <xdr:colOff>304800</xdr:colOff>
      <xdr:row>27</xdr:row>
      <xdr:rowOff>107156</xdr:rowOff>
    </xdr:to>
    <xdr:graphicFrame macro="">
      <xdr:nvGraphicFramePr>
        <xdr:cNvPr id="3" name="Chart 2">
          <a:extLst>
            <a:ext uri="{FF2B5EF4-FFF2-40B4-BE49-F238E27FC236}">
              <a16:creationId xmlns:a16="http://schemas.microsoft.com/office/drawing/2014/main" id="{D13500CF-E038-456B-91B5-DA34DEA34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304800</xdr:colOff>
      <xdr:row>9</xdr:row>
      <xdr:rowOff>0</xdr:rowOff>
    </xdr:from>
    <xdr:to>
      <xdr:col>18</xdr:col>
      <xdr:colOff>85725</xdr:colOff>
      <xdr:row>27</xdr:row>
      <xdr:rowOff>100012</xdr:rowOff>
    </xdr:to>
    <xdr:graphicFrame macro="">
      <xdr:nvGraphicFramePr>
        <xdr:cNvPr id="4" name="Chart 3">
          <a:extLst>
            <a:ext uri="{FF2B5EF4-FFF2-40B4-BE49-F238E27FC236}">
              <a16:creationId xmlns:a16="http://schemas.microsoft.com/office/drawing/2014/main" id="{98087ADC-79FC-4F70-A6EB-930842DC8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112060</xdr:colOff>
      <xdr:row>9</xdr:row>
      <xdr:rowOff>1</xdr:rowOff>
    </xdr:from>
    <xdr:to>
      <xdr:col>45</xdr:col>
      <xdr:colOff>11206</xdr:colOff>
      <xdr:row>27</xdr:row>
      <xdr:rowOff>100853</xdr:rowOff>
    </xdr:to>
    <xdr:graphicFrame macro="">
      <xdr:nvGraphicFramePr>
        <xdr:cNvPr id="5" name="Chart 4">
          <a:extLst>
            <a:ext uri="{FF2B5EF4-FFF2-40B4-BE49-F238E27FC236}">
              <a16:creationId xmlns:a16="http://schemas.microsoft.com/office/drawing/2014/main" id="{8460D370-C22D-4912-86C6-1FD46D1D4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78441</xdr:colOff>
      <xdr:row>8</xdr:row>
      <xdr:rowOff>190499</xdr:rowOff>
    </xdr:from>
    <xdr:to>
      <xdr:col>27</xdr:col>
      <xdr:colOff>112059</xdr:colOff>
      <xdr:row>27</xdr:row>
      <xdr:rowOff>100852</xdr:rowOff>
    </xdr:to>
    <xdr:graphicFrame macro="">
      <xdr:nvGraphicFramePr>
        <xdr:cNvPr id="6" name="Chart 5">
          <a:extLst>
            <a:ext uri="{FF2B5EF4-FFF2-40B4-BE49-F238E27FC236}">
              <a16:creationId xmlns:a16="http://schemas.microsoft.com/office/drawing/2014/main" id="{7CFD40B2-84AB-4D0E-ABE7-2B5E45876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11207</xdr:colOff>
      <xdr:row>27</xdr:row>
      <xdr:rowOff>89647</xdr:rowOff>
    </xdr:from>
    <xdr:to>
      <xdr:col>45</xdr:col>
      <xdr:colOff>11206</xdr:colOff>
      <xdr:row>59</xdr:row>
      <xdr:rowOff>145676</xdr:rowOff>
    </xdr:to>
    <xdr:graphicFrame macro="">
      <xdr:nvGraphicFramePr>
        <xdr:cNvPr id="7" name="Chart 6">
          <a:extLst>
            <a:ext uri="{FF2B5EF4-FFF2-40B4-BE49-F238E27FC236}">
              <a16:creationId xmlns:a16="http://schemas.microsoft.com/office/drawing/2014/main" id="{A56359E0-077B-434D-90A8-B51C68535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36</xdr:row>
      <xdr:rowOff>35298</xdr:rowOff>
    </xdr:from>
    <xdr:to>
      <xdr:col>2</xdr:col>
      <xdr:colOff>11206</xdr:colOff>
      <xdr:row>50</xdr:row>
      <xdr:rowOff>35298</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3A28ABD8-DC47-0D59-D205-9191F547167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6893298"/>
              <a:ext cx="1221441"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50</xdr:row>
      <xdr:rowOff>40902</xdr:rowOff>
    </xdr:from>
    <xdr:to>
      <xdr:col>2</xdr:col>
      <xdr:colOff>22412</xdr:colOff>
      <xdr:row>59</xdr:row>
      <xdr:rowOff>156882</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E8936A4B-66D8-B42A-C287-E3E0AA4D692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9565902"/>
              <a:ext cx="1232647" cy="1830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91327</xdr:rowOff>
    </xdr:from>
    <xdr:to>
      <xdr:col>2</xdr:col>
      <xdr:colOff>0</xdr:colOff>
      <xdr:row>36</xdr:row>
      <xdr:rowOff>22412</xdr:rowOff>
    </xdr:to>
    <mc:AlternateContent xmlns:mc="http://schemas.openxmlformats.org/markup-compatibility/2006" xmlns:a14="http://schemas.microsoft.com/office/drawing/2010/main">
      <mc:Choice Requires="a14">
        <xdr:graphicFrame macro="">
          <xdr:nvGraphicFramePr>
            <xdr:cNvPr id="13" name="Sales_Channel">
              <a:extLst>
                <a:ext uri="{FF2B5EF4-FFF2-40B4-BE49-F238E27FC236}">
                  <a16:creationId xmlns:a16="http://schemas.microsoft.com/office/drawing/2014/main" id="{0049DA49-C0B0-1235-2921-B00F31982A70}"/>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0" y="5044327"/>
              <a:ext cx="1210235" cy="18360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7284</xdr:rowOff>
    </xdr:from>
    <xdr:to>
      <xdr:col>2</xdr:col>
      <xdr:colOff>0</xdr:colOff>
      <xdr:row>26</xdr:row>
      <xdr:rowOff>89647</xdr:rowOff>
    </xdr:to>
    <mc:AlternateContent xmlns:mc="http://schemas.openxmlformats.org/markup-compatibility/2006" xmlns:a14="http://schemas.microsoft.com/office/drawing/2010/main">
      <mc:Choice Requires="a14">
        <xdr:graphicFrame macro="">
          <xdr:nvGraphicFramePr>
            <xdr:cNvPr id="14" name="Payment_Method">
              <a:extLst>
                <a:ext uri="{FF2B5EF4-FFF2-40B4-BE49-F238E27FC236}">
                  <a16:creationId xmlns:a16="http://schemas.microsoft.com/office/drawing/2014/main" id="{EAA31E63-36DE-23CC-8178-E2336689D93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0" y="3245784"/>
              <a:ext cx="1210235" cy="1796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12887</xdr:rowOff>
    </xdr:from>
    <xdr:to>
      <xdr:col>2</xdr:col>
      <xdr:colOff>0</xdr:colOff>
      <xdr:row>17</xdr:row>
      <xdr:rowOff>0</xdr:rowOff>
    </xdr:to>
    <mc:AlternateContent xmlns:mc="http://schemas.openxmlformats.org/markup-compatibility/2006" xmlns:a14="http://schemas.microsoft.com/office/drawing/2010/main">
      <mc:Choice Requires="a14">
        <xdr:graphicFrame macro="">
          <xdr:nvGraphicFramePr>
            <xdr:cNvPr id="15" name="Order_Status">
              <a:extLst>
                <a:ext uri="{FF2B5EF4-FFF2-40B4-BE49-F238E27FC236}">
                  <a16:creationId xmlns:a16="http://schemas.microsoft.com/office/drawing/2014/main" id="{AADBD787-4171-3F0B-7FE7-E801C51094DE}"/>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0" y="1727387"/>
              <a:ext cx="1210235" cy="1511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unis" refreshedDate="46129.053875810183" createdVersion="8" refreshedVersion="8" minRefreshableVersion="3" recordCount="1050" xr:uid="{B23F5A19-D87D-45E7-8E99-E4797AC8A7C2}">
  <cacheSource type="worksheet">
    <worksheetSource name="Sheet1__3_1_1_1"/>
  </cacheSource>
  <cacheFields count="20">
    <cacheField name="Order_ID2" numFmtId="0">
      <sharedItems/>
    </cacheField>
    <cacheField name="Order_Date" numFmtId="0">
      <sharedItems containsSemiMixedTypes="0" containsString="0" containsNumber="1" containsInteger="1" minValue="44562" maxValue="45288"/>
    </cacheField>
    <cacheField name="Order_Time" numFmtId="0">
      <sharedItems containsSemiMixedTypes="0" containsString="0" containsNumber="1" containsInteger="1" minValue="0" maxValue="0" count="1">
        <n v="0"/>
      </sharedItems>
    </cacheField>
    <cacheField name="Region" numFmtId="0">
      <sharedItems count="5">
        <s v="East"/>
        <s v="North"/>
        <s v="Central"/>
        <s v="West"/>
        <s v="South"/>
      </sharedItems>
    </cacheField>
    <cacheField name="Country" numFmtId="0">
      <sharedItems count="15">
        <s v="Hungary"/>
        <s v="Netherlands"/>
        <s v="Germany"/>
        <s v="Switzerland"/>
        <s v="Slovakia"/>
        <s v="Sweden"/>
        <s v="Austria"/>
        <s v="Belgium"/>
        <s v="France"/>
        <s v="Poland"/>
        <s v="Greece"/>
        <s v="UK"/>
        <s v="Czech Republic"/>
        <s v="Italy"/>
        <s v="Spain"/>
      </sharedItems>
    </cacheField>
    <cacheField name="Customer_Segment" numFmtId="0">
      <sharedItems count="4">
        <s v="Individual"/>
        <s v="Government"/>
        <s v="Corporate"/>
        <s v="SMB"/>
      </sharedItems>
    </cacheField>
    <cacheField name="Category" numFmtId="0">
      <sharedItems count="5">
        <s v="Food &amp; Beverages"/>
        <s v="Furniture"/>
        <s v="Clothing"/>
        <s v="Office Supplies"/>
        <s v="Electronics"/>
      </sharedItems>
    </cacheField>
    <cacheField name="Sub_Category" numFmtId="0">
      <sharedItems count="24">
        <s v="Snacks"/>
        <s v="Desks"/>
        <s v="Chairs"/>
        <s v="Beverages"/>
        <s v="Accessories"/>
        <s v="Pants"/>
        <s v="Printers"/>
        <s v="Staples"/>
        <s v="Bakery"/>
        <s v="Phones"/>
        <s v="Shirts"/>
        <s v="Laptops"/>
        <s v="Shelves"/>
        <s v="Tablets"/>
        <s v="Pens"/>
        <s v="Jackets"/>
        <s v="Dairy"/>
        <s v="Shoes"/>
        <s v="Tables"/>
        <s v="Paper"/>
        <s v="Coffee"/>
        <s v="Cabinets"/>
        <s v="Monitors"/>
        <s v="Notebooks"/>
      </sharedItems>
    </cacheField>
    <cacheField name="Salesperson" numFmtId="0">
      <sharedItems count="12">
        <s v="Maria Gonzalez"/>
        <s v="Hassan Al-Nasser"/>
        <s v="Mohammed Al-Farsi"/>
        <s v="Emma Thompson"/>
        <s v="Fatima Al-Zahra"/>
        <s v="Klaus Weber"/>
        <s v="Yuki Tanaka"/>
        <s v="Sarah Johnson"/>
        <s v="David Kim"/>
        <s v="Lena Müller"/>
        <s v="Carlos Rivera"/>
        <s v="Ahmed Al-Rashid"/>
      </sharedItems>
    </cacheField>
    <cacheField name="Sales_Channel" numFmtId="0">
      <sharedItems count="5">
        <s v="Direct Sales"/>
        <s v="Online"/>
        <s v="Wholesale"/>
        <s v="Partner"/>
        <s v="Retail Store"/>
      </sharedItems>
    </cacheField>
    <cacheField name="Payment_Method" numFmtId="0">
      <sharedItems count="5">
        <s v="Cash"/>
        <s v="Bank Transfer"/>
        <s v="Credit Card"/>
        <s v="Invoice"/>
        <s v="PayPal"/>
      </sharedItems>
    </cacheField>
    <cacheField name="Order_Status" numFmtId="0">
      <sharedItems count="4">
        <s v="Returned"/>
        <s v="Completed"/>
        <s v="Pending"/>
        <s v="Cancelled"/>
      </sharedItems>
    </cacheField>
    <cacheField name="Unit_Price" numFmtId="0">
      <sharedItems containsMixedTypes="1" containsNumber="1" minValue="6.8" maxValue="1057.47"/>
    </cacheField>
    <cacheField name="Quantity" numFmtId="0">
      <sharedItems containsString="0" containsBlank="1" containsNumber="1" containsInteger="1" minValue="1" maxValue="30"/>
    </cacheField>
    <cacheField name="Discount_%" numFmtId="9">
      <sharedItems containsSemiMixedTypes="0" containsString="0" containsNumber="1" minValue="0" maxValue="0.2"/>
    </cacheField>
    <cacheField name="Gross_Revenue" numFmtId="0">
      <sharedItems containsSemiMixedTypes="0" containsString="0" containsNumber="1" minValue="0" maxValue="11105.7"/>
    </cacheField>
    <cacheField name="Discount_Amount" numFmtId="0">
      <sharedItems containsSemiMixedTypes="0" containsString="0" containsNumber="1" minValue="0" maxValue="2197.98"/>
    </cacheField>
    <cacheField name="Net_Revenue" numFmtId="0">
      <sharedItems containsSemiMixedTypes="0" containsString="0" containsNumber="1" minValue="0" maxValue="11105.7"/>
    </cacheField>
    <cacheField name="COGS" numFmtId="0">
      <sharedItems containsMixedTypes="1" containsNumber="1" minValue="3.2" maxValue="4367.3900000000003" count="988">
        <n v="108.52"/>
        <n v="983.46"/>
        <n v="111.51"/>
        <n v="268.72000000000003"/>
        <n v="324.68"/>
        <n v="124.76"/>
        <n v="734.67"/>
        <n v="208.78"/>
        <n v="61.72"/>
        <s v="N/A"/>
        <n v="13.51"/>
        <n v="74.650000000000006"/>
        <n v="1558.27"/>
        <n v="154.16999999999999"/>
        <n v="3766.05"/>
        <n v="2707.81"/>
        <n v="187.32"/>
        <n v="217.43"/>
        <n v="157.47999999999999"/>
        <n v="516.41"/>
        <n v="178.05"/>
        <n v="70.489999999999995"/>
        <n v="65.06"/>
        <n v="207.17"/>
        <n v="3508.4"/>
        <n v="142.96"/>
        <n v="3340.93"/>
        <n v="79.22"/>
        <n v="370.98"/>
        <n v="27.9"/>
        <n v="58.21"/>
        <n v="633.61"/>
        <n v="270.49"/>
        <n v="1510.58"/>
        <n v="64.709999999999994"/>
        <n v="281.01"/>
        <n v="480.39"/>
        <n v="127.77"/>
        <n v="171.96"/>
        <n v="1688.58"/>
        <n v="25.38"/>
        <n v="202.12"/>
        <n v="475.7"/>
        <n v="42.63"/>
        <n v="49.19"/>
        <n v="40.43"/>
        <n v="36.590000000000003"/>
        <n v="484.15"/>
        <n v="332.5"/>
        <n v="2221.39"/>
        <n v="448.13"/>
        <n v="1781.46"/>
        <n v="175.8"/>
        <n v="105.14"/>
        <n v="3297.88"/>
        <n v="2648.29"/>
        <n v="91.64"/>
        <n v="124.07"/>
        <n v="182.27"/>
        <n v="135.30000000000001"/>
        <n v="514.85"/>
        <n v="40"/>
        <n v="1142.31"/>
        <n v="67.75"/>
        <n v="20.48"/>
        <n v="1893.24"/>
        <n v="1349.02"/>
        <n v="83.42"/>
        <n v="368.57"/>
        <n v="574.05999999999995"/>
        <n v="807.9"/>
        <n v="36.270000000000003"/>
        <n v="995.79"/>
        <n v="1218.5999999999999"/>
        <n v="68.150000000000006"/>
        <n v="2063.86"/>
        <n v="67.510000000000005"/>
        <n v="69.95"/>
        <n v="1409.83"/>
        <n v="31.65"/>
        <n v="1496.57"/>
        <n v="197.78"/>
        <n v="63.55"/>
        <n v="15.07"/>
        <n v="219.15"/>
        <n v="50.68"/>
        <n v="157.97999999999999"/>
        <n v="918.6"/>
        <n v="447.75"/>
        <n v="68.11"/>
        <n v="1056.93"/>
        <n v="293.39"/>
        <n v="91.19"/>
        <n v="121.77"/>
        <n v="580.30999999999995"/>
        <n v="134.01"/>
        <n v="447.14"/>
        <n v="82.76"/>
        <n v="218.33"/>
        <n v="4367.3900000000003"/>
        <n v="262.39"/>
        <n v="1385.22"/>
        <n v="6.86"/>
        <n v="120.57"/>
        <n v="26.69"/>
        <n v="163.83000000000001"/>
        <n v="159.83000000000001"/>
        <n v="118.36"/>
        <n v="44.11"/>
        <n v="1848.29"/>
        <n v="133.33000000000001"/>
        <n v="430.49"/>
        <n v="46.89"/>
        <n v="99.73"/>
        <n v="105.83"/>
        <n v="129.38999999999999"/>
        <n v="92.03"/>
        <n v="157.69999999999999"/>
        <n v="1464.01"/>
        <n v="120.66"/>
        <n v="144.24"/>
        <n v="153.82"/>
        <n v="52.48"/>
        <n v="278.43"/>
        <n v="1498.8"/>
        <n v="85.49"/>
        <n v="19.73"/>
        <n v="43.93"/>
        <n v="90.96"/>
        <n v="8.9499999999999993"/>
        <n v="168.68"/>
        <n v="16.149999999999999"/>
        <n v="147.78"/>
        <n v="666.67"/>
        <n v="21.38"/>
        <n v="649.64"/>
        <n v="139.15"/>
        <n v="201.82"/>
        <n v="3270.02"/>
        <n v="241.4"/>
        <n v="527.12"/>
        <n v="48.75"/>
        <n v="92.96"/>
        <n v="20.260000000000002"/>
        <n v="111.82"/>
        <n v="206.09"/>
        <n v="45.76"/>
        <n v="853.03"/>
        <n v="17.010000000000002"/>
        <n v="90.71"/>
        <n v="26.18"/>
        <n v="147.57"/>
        <n v="561.42999999999995"/>
        <n v="558.44000000000005"/>
        <n v="11.8"/>
        <n v="14.72"/>
        <n v="69.86"/>
        <n v="247.18"/>
        <n v="15.01"/>
        <n v="467.42"/>
        <n v="44.39"/>
        <n v="159.18"/>
        <n v="162.44"/>
        <n v="59.69"/>
        <n v="784.48"/>
        <n v="105.86"/>
        <n v="79.75"/>
        <n v="96.85"/>
        <n v="155.19"/>
        <n v="196.03"/>
        <n v="3130.58"/>
        <n v="449.98"/>
        <n v="164.69"/>
        <n v="2120.29"/>
        <n v="805.49"/>
        <n v="4255.93"/>
        <n v="231.1"/>
        <n v="101.56"/>
        <n v="14.91"/>
        <n v="2390.25"/>
        <n v="1600.07"/>
        <n v="343.39"/>
        <n v="2540.0100000000002"/>
        <n v="319.39"/>
        <n v="403.5"/>
        <n v="58.55"/>
        <n v="1543.89"/>
        <n v="4150.7299999999996"/>
        <n v="2936.42"/>
        <n v="296.58"/>
        <n v="353.36"/>
        <n v="775.82"/>
        <n v="61.5"/>
        <n v="870.23"/>
        <n v="14.73"/>
        <n v="512.94000000000005"/>
        <n v="45.82"/>
        <n v="810.24"/>
        <n v="450.84"/>
        <n v="950.38"/>
        <n v="412.37"/>
        <n v="157.05000000000001"/>
        <n v="146.03"/>
        <n v="112.1"/>
        <n v="8.09"/>
        <n v="2440.39"/>
        <n v="109.5"/>
        <n v="221.89"/>
        <n v="300.56"/>
        <n v="63.63"/>
        <n v="464.44"/>
        <n v="903.86"/>
        <n v="165.18"/>
        <n v="2041.72"/>
        <n v="70.8"/>
        <n v="88.69"/>
        <n v="105.87"/>
        <n v="102.14"/>
        <n v="3094.3"/>
        <n v="1120.49"/>
        <n v="190.85"/>
        <n v="2701.53"/>
        <n v="104.17"/>
        <n v="699.18"/>
        <n v="106.73"/>
        <n v="292.66000000000003"/>
        <n v="89.25"/>
        <n v="76.290000000000006"/>
        <n v="76.22"/>
        <n v="55.78"/>
        <n v="83.55"/>
        <n v="1957.99"/>
        <n v="67.650000000000006"/>
        <n v="12.33"/>
        <n v="1815.28"/>
        <n v="2239.61"/>
        <n v="3725.21"/>
        <n v="95.21"/>
        <n v="217.6"/>
        <n v="54.85"/>
        <n v="309.74"/>
        <n v="840.22"/>
        <n v="152.16999999999999"/>
        <n v="117.31"/>
        <n v="1138.92"/>
        <n v="1050.3900000000001"/>
        <n v="1186.44"/>
        <n v="536.92999999999995"/>
        <n v="84.45"/>
        <n v="129.03"/>
        <n v="3037.01"/>
        <n v="3041.27"/>
        <n v="73.62"/>
        <n v="77.25"/>
        <n v="1142.8699999999999"/>
        <n v="1470.27"/>
        <n v="199.49"/>
        <n v="1744.64"/>
        <n v="1034.8499999999999"/>
        <n v="66.12"/>
        <n v="20.13"/>
        <n v="131.96"/>
        <n v="225.34"/>
        <n v="1342.35"/>
        <n v="145.07"/>
        <n v="7.59"/>
        <n v="1692.82"/>
        <n v="1118.83"/>
        <n v="124.93"/>
        <n v="183.34"/>
        <n v="251.69"/>
        <n v="88.76"/>
        <n v="415.4"/>
        <n v="511.48"/>
        <n v="423.43"/>
        <n v="219.08"/>
        <n v="290.27"/>
        <n v="1005.46"/>
        <n v="73.680000000000007"/>
        <n v="125.42"/>
        <n v="161.04"/>
        <n v="178.64"/>
        <n v="80.09"/>
        <n v="71.260000000000005"/>
        <n v="60.43"/>
        <n v="19.78"/>
        <n v="123.19"/>
        <n v="149.56"/>
        <n v="1753.12"/>
        <n v="1136.83"/>
        <n v="317.83999999999997"/>
        <n v="122.27"/>
        <n v="134.5"/>
        <n v="98.46"/>
        <n v="182.96"/>
        <n v="185.67"/>
        <n v="245.29"/>
        <n v="243.59"/>
        <n v="33.51"/>
        <n v="70.12"/>
        <n v="351.78"/>
        <n v="153.19"/>
        <n v="494.67"/>
        <n v="114.65"/>
        <n v="145.41"/>
        <n v="490.18"/>
        <n v="83.16"/>
        <n v="1012.46"/>
        <n v="50.71"/>
        <n v="249.79"/>
        <n v="39.94"/>
        <n v="77.180000000000007"/>
        <n v="67.44"/>
        <n v="13.06"/>
        <n v="1349.24"/>
        <n v="70.81"/>
        <n v="71.75"/>
        <n v="984.91"/>
        <n v="44.09"/>
        <n v="443.58"/>
        <n v="581.21"/>
        <n v="77.97"/>
        <n v="1221.28"/>
        <n v="42.58"/>
        <n v="204.3"/>
        <n v="233.82"/>
        <n v="183.92"/>
        <n v="48.71"/>
        <n v="99.39"/>
        <n v="161.91"/>
        <n v="131.29"/>
        <n v="332.49"/>
        <n v="11.11"/>
        <n v="204.61"/>
        <n v="168.04"/>
        <n v="65.790000000000006"/>
        <n v="158.94"/>
        <n v="1211.02"/>
        <n v="99.4"/>
        <n v="200.56"/>
        <n v="155.82"/>
        <n v="237.15"/>
        <n v="94.82"/>
        <n v="853.2"/>
        <n v="92.63"/>
        <n v="1187.49"/>
        <n v="247.44"/>
        <n v="255.33"/>
        <n v="95.33"/>
        <n v="424.78"/>
        <n v="66.67"/>
        <n v="1325.84"/>
        <n v="2053.64"/>
        <n v="32.24"/>
        <n v="985.45"/>
        <n v="90.02"/>
        <n v="166.61"/>
        <n v="9.82"/>
        <n v="189.99"/>
        <n v="950.11"/>
        <n v="2147.21"/>
        <n v="1854.45"/>
        <n v="394.61"/>
        <n v="115.7"/>
        <n v="3105.7"/>
        <n v="10.44"/>
        <n v="51.68"/>
        <n v="424.86"/>
        <n v="27.51"/>
        <n v="203.74"/>
        <n v="795.86"/>
        <n v="361.23"/>
        <n v="141.36000000000001"/>
        <n v="92.75"/>
        <n v="95.79"/>
        <n v="171.59"/>
        <n v="439.88"/>
        <n v="2357.4899999999998"/>
        <n v="319.57"/>
        <n v="2331.87"/>
        <n v="23.88"/>
        <n v="75.849999999999994"/>
        <n v="1056.58"/>
        <n v="43.01"/>
        <n v="254.01"/>
        <n v="152.52000000000001"/>
        <n v="85.84"/>
        <n v="177.79"/>
        <n v="84.17"/>
        <n v="35.049999999999997"/>
        <n v="240.44"/>
        <n v="28.4"/>
        <n v="87.81"/>
        <n v="647.32000000000005"/>
        <n v="100.71"/>
        <n v="132.15"/>
        <n v="124.23"/>
        <n v="1777.27"/>
        <n v="89.42"/>
        <n v="2053.7199999999998"/>
        <n v="2945.08"/>
        <n v="418.94"/>
        <n v="73.02"/>
        <n v="95.92"/>
        <n v="1403.16"/>
        <n v="75.72"/>
        <n v="142.29"/>
        <n v="57.72"/>
        <n v="1322.57"/>
        <n v="141.08000000000001"/>
        <n v="899.32"/>
        <n v="105.73"/>
        <n v="420.42"/>
        <n v="2023.98"/>
        <n v="108.08"/>
        <n v="362.24"/>
        <n v="243.43"/>
        <n v="1385.58"/>
        <n v="100.31"/>
        <n v="1045.51"/>
        <n v="289.76"/>
        <n v="106.13"/>
        <n v="51.79"/>
        <n v="286.55"/>
        <n v="622.05999999999995"/>
        <n v="791.29"/>
        <n v="2622.38"/>
        <n v="356.05"/>
        <n v="353.07"/>
        <n v="294.10000000000002"/>
        <n v="581.17999999999995"/>
        <n v="38.520000000000003"/>
        <n v="1236.44"/>
        <n v="1097.23"/>
        <n v="46.83"/>
        <n v="111.12"/>
        <n v="3938.78"/>
        <n v="192.03"/>
        <n v="402.92"/>
        <n v="787.37"/>
        <n v="2600.08"/>
        <n v="86.75"/>
        <n v="1852.34"/>
        <n v="96.35"/>
        <n v="660.21"/>
        <n v="189.14"/>
        <n v="2354.7600000000002"/>
        <n v="1346.57"/>
        <n v="577.75"/>
        <n v="174.05"/>
        <n v="617.79"/>
        <n v="77.91"/>
        <n v="125.74"/>
        <n v="45.42"/>
        <n v="496.68"/>
        <n v="69.349999999999994"/>
        <n v="3840.65"/>
        <n v="10.01"/>
        <n v="59.43"/>
        <n v="33.18"/>
        <n v="667.22"/>
        <n v="2228.1999999999998"/>
        <n v="103.54"/>
        <n v="242.55"/>
        <n v="50.73"/>
        <n v="10"/>
        <n v="3671.53"/>
        <n v="1662.03"/>
        <n v="7.68"/>
        <n v="1807.42"/>
        <n v="687.63"/>
        <n v="112.59"/>
        <n v="86.26"/>
        <n v="1343.94"/>
        <n v="138.58000000000001"/>
        <n v="6.31"/>
        <n v="212.68"/>
        <n v="1087.95"/>
        <n v="26.79"/>
        <n v="385.61"/>
        <n v="291.88"/>
        <n v="32.6"/>
        <n v="154.81"/>
        <n v="2259.94"/>
        <n v="33.799999999999997"/>
        <n v="3268.15"/>
        <n v="738.66"/>
        <n v="241.49"/>
        <n v="236.77"/>
        <n v="430.28"/>
        <n v="370.59"/>
        <n v="82.59"/>
        <n v="30.56"/>
        <n v="63.4"/>
        <n v="144.87"/>
        <n v="293.02"/>
        <n v="81.12"/>
        <n v="20.73"/>
        <n v="42.18"/>
        <n v="103.36"/>
        <n v="42.97"/>
        <n v="439.84"/>
        <n v="1517.31"/>
        <n v="50.77"/>
        <n v="882.79"/>
        <n v="106.66"/>
        <n v="134.62"/>
        <n v="124.63"/>
        <n v="1266.68"/>
        <n v="1343.97"/>
        <n v="157.97"/>
        <n v="22.64"/>
        <n v="58.31"/>
        <n v="252.61"/>
        <n v="133.94999999999999"/>
        <n v="185.3"/>
        <n v="122.98"/>
        <n v="489.96"/>
        <n v="37.950000000000003"/>
        <n v="101.77"/>
        <n v="386.74"/>
        <n v="137.4"/>
        <n v="261.41000000000003"/>
        <n v="293.16000000000003"/>
        <n v="760.96"/>
        <n v="121.03"/>
        <n v="922.15"/>
        <n v="44.07"/>
        <n v="1038.19"/>
        <n v="58.67"/>
        <n v="691.66"/>
        <n v="161.97"/>
        <n v="464.81"/>
        <n v="366.8"/>
        <n v="119.29"/>
        <n v="651.1"/>
        <n v="49.62"/>
        <n v="1405.17"/>
        <n v="27.17"/>
        <n v="406.48"/>
        <n v="99.29"/>
        <n v="176.1"/>
        <n v="1768.41"/>
        <n v="31.45"/>
        <n v="590.39"/>
        <n v="1024.1600000000001"/>
        <n v="1917.04"/>
        <n v="13.76"/>
        <n v="74.58"/>
        <n v="1269.46"/>
        <n v="185.72"/>
        <n v="36.630000000000003"/>
        <n v="80.66"/>
        <n v="322.73"/>
        <n v="678.57"/>
        <n v="58.23"/>
        <n v="1657.85"/>
        <n v="375.61"/>
        <n v="1169.83"/>
        <n v="20.63"/>
        <n v="17.39"/>
        <n v="184.9"/>
        <n v="1523.4"/>
        <n v="50.85"/>
        <n v="873.97"/>
        <n v="182.83"/>
        <n v="1464"/>
        <n v="75.319999999999993"/>
        <n v="33.619999999999997"/>
        <n v="80.31"/>
        <n v="76.37"/>
        <n v="60.9"/>
        <n v="797.78"/>
        <n v="147.03"/>
        <n v="844.07"/>
        <n v="59.78"/>
        <n v="59.51"/>
        <n v="2682.06"/>
        <n v="2251.5100000000002"/>
        <n v="198.64"/>
        <n v="3317.22"/>
        <n v="204.37"/>
        <n v="91.93"/>
        <n v="120.52"/>
        <n v="386.06"/>
        <n v="96.39"/>
        <n v="62.07"/>
        <n v="2285.36"/>
        <n v="145.09"/>
        <n v="33.74"/>
        <n v="74.540000000000006"/>
        <n v="213.25"/>
        <n v="60.8"/>
        <n v="753.61"/>
        <n v="186.33"/>
        <n v="25.45"/>
        <n v="559.41"/>
        <n v="257.24"/>
        <n v="425.41"/>
        <n v="340.36"/>
        <n v="257.92"/>
        <n v="419.5"/>
        <n v="148"/>
        <n v="3340.96"/>
        <n v="138.91999999999999"/>
        <n v="58.52"/>
        <n v="22.56"/>
        <n v="227.9"/>
        <n v="136.87"/>
        <n v="145.1"/>
        <n v="3121.19"/>
        <n v="3.2"/>
        <n v="97.68"/>
        <n v="301.38"/>
        <n v="514.12"/>
        <n v="422.38"/>
        <n v="68.39"/>
        <n v="86.98"/>
        <n v="390.3"/>
        <n v="3784.25"/>
        <n v="65.84"/>
        <n v="16.95"/>
        <n v="103.22"/>
        <n v="814.52"/>
        <n v="1687.24"/>
        <n v="55.02"/>
        <n v="21.71"/>
        <n v="218"/>
        <n v="1324.79"/>
        <n v="112.45"/>
        <n v="157.77000000000001"/>
        <n v="3205.17"/>
        <n v="44.57"/>
        <n v="56.96"/>
        <n v="77.77"/>
        <n v="130.36000000000001"/>
        <n v="58.42"/>
        <n v="46.34"/>
        <n v="430.31"/>
        <n v="143.55000000000001"/>
        <n v="16.420000000000002"/>
        <n v="348.17"/>
        <n v="18.41"/>
        <n v="868"/>
        <n v="1812.38"/>
        <n v="161.09"/>
        <n v="85.23"/>
        <n v="270.27"/>
        <n v="118.28"/>
        <n v="99.53"/>
        <n v="553.65"/>
        <n v="106.24"/>
        <n v="106.78"/>
        <n v="692.2"/>
        <n v="9.33"/>
        <n v="80.56"/>
        <n v="26.14"/>
        <n v="174.32"/>
        <n v="617.51"/>
        <n v="624.19000000000005"/>
        <n v="143.35"/>
        <n v="13.03"/>
        <n v="382.16"/>
        <n v="614.75"/>
        <n v="411.8"/>
        <n v="1659.33"/>
        <n v="1105.56"/>
        <n v="4.1100000000000003"/>
        <n v="2077.46"/>
        <n v="81.62"/>
        <n v="403.68"/>
        <n v="671.92"/>
        <n v="5.6"/>
        <n v="207.42"/>
        <n v="390.81"/>
        <n v="994.69"/>
        <n v="223.56"/>
        <n v="181.4"/>
        <n v="146.06"/>
        <n v="293.57"/>
        <n v="127.21"/>
        <n v="1164.9100000000001"/>
        <n v="2068.5700000000002"/>
        <n v="8.61"/>
        <n v="49.3"/>
        <n v="125.86"/>
        <n v="62.37"/>
        <n v="90.28"/>
        <n v="128.5"/>
        <n v="106.44"/>
        <n v="1578.43"/>
        <n v="1230.8"/>
        <n v="160.30000000000001"/>
        <n v="109.97"/>
        <n v="70.569999999999993"/>
        <n v="95.58"/>
        <n v="220.37"/>
        <n v="185.2"/>
        <n v="526.23"/>
        <n v="94.42"/>
        <n v="18.670000000000002"/>
        <n v="233.34"/>
        <n v="223.7"/>
        <n v="173.24"/>
        <n v="386.48"/>
        <n v="2452.3200000000002"/>
        <n v="39.46"/>
        <n v="2117.5700000000002"/>
        <n v="1516.65"/>
        <n v="81.349999999999994"/>
        <n v="1775.48"/>
        <n v="156.65"/>
        <n v="123.42"/>
        <n v="312.91000000000003"/>
        <n v="3814.93"/>
        <n v="102.56"/>
        <n v="939.37"/>
        <n v="24.88"/>
        <n v="183.36"/>
        <n v="129.6"/>
        <n v="18.72"/>
        <n v="96.27"/>
        <n v="684.92"/>
        <n v="56.55"/>
        <n v="54.26"/>
        <n v="177.64"/>
        <n v="143.27000000000001"/>
        <n v="405.65"/>
        <n v="135.51"/>
        <n v="105.88"/>
        <n v="1005.81"/>
        <n v="231.53"/>
        <n v="160.54"/>
        <n v="112.41"/>
        <n v="98.81"/>
        <n v="1478.41"/>
        <n v="28.52"/>
        <n v="284.5"/>
        <n v="170.03"/>
        <n v="2765.66"/>
        <n v="67.78"/>
        <n v="1174.3699999999999"/>
        <n v="169.95"/>
        <n v="122.91"/>
        <n v="274.95"/>
        <n v="298.99"/>
        <n v="14.36"/>
        <n v="172.3"/>
        <n v="38.54"/>
        <n v="374.62"/>
        <n v="1117.73"/>
        <n v="93.69"/>
        <n v="504.81"/>
        <n v="209.52"/>
        <n v="141.83000000000001"/>
        <n v="835.8"/>
        <n v="440.19"/>
        <n v="50.14"/>
        <n v="538.67999999999995"/>
        <n v="170.05"/>
        <n v="483.82"/>
        <n v="144.53"/>
        <n v="232.91"/>
        <n v="125.04"/>
        <n v="510.69"/>
        <n v="1598.01"/>
        <n v="1063.8"/>
        <n v="457.01"/>
        <n v="3622.44"/>
        <n v="841.51"/>
        <n v="116.39"/>
        <n v="147.01"/>
        <n v="380.15"/>
        <n v="48.39"/>
        <n v="181.1"/>
        <n v="207.8"/>
        <n v="110.74"/>
        <n v="219.14"/>
        <n v="85.77"/>
        <n v="214.4"/>
        <n v="70.44"/>
        <n v="19.62"/>
        <n v="38.51"/>
        <n v="4220.17"/>
        <n v="117.28"/>
        <n v="1123.1099999999999"/>
        <n v="47.16"/>
        <n v="156.11000000000001"/>
        <n v="1064.8"/>
        <n v="2501.5500000000002"/>
        <n v="58.46"/>
        <n v="221.35"/>
        <n v="1473.33"/>
        <n v="16.489999999999998"/>
        <n v="64.53"/>
        <n v="579.94000000000005"/>
        <n v="98.75"/>
        <n v="1507.93"/>
        <n v="74.62"/>
        <n v="6.13"/>
        <n v="1895.62"/>
        <n v="1910.48"/>
        <n v="114.43"/>
        <n v="79.209999999999994"/>
        <n v="200.7"/>
        <n v="815.47"/>
        <n v="1562.92"/>
        <n v="42.91"/>
        <n v="537.13"/>
        <n v="1366.39"/>
        <n v="94.03"/>
        <n v="212.13"/>
        <n v="66.5"/>
        <n v="209.5"/>
        <n v="62.76"/>
        <n v="206.66"/>
        <n v="38.6"/>
        <n v="83.78"/>
        <n v="196.85"/>
        <n v="319.39999999999998"/>
        <n v="265.23"/>
        <n v="155.4"/>
        <n v="128.91"/>
        <n v="88.03"/>
        <n v="368.27"/>
        <n v="159.68"/>
        <n v="921.35"/>
        <n v="350.37"/>
        <n v="1503.28"/>
        <n v="90.83"/>
        <n v="34.770000000000003"/>
        <n v="683.22"/>
        <n v="265.93"/>
        <n v="233.29"/>
        <n v="722.04"/>
        <n v="193.77"/>
        <n v="159.94999999999999"/>
        <n v="434.81"/>
        <n v="106.41"/>
        <n v="1081.7"/>
        <n v="2231.85"/>
        <n v="79.41"/>
        <n v="61.79"/>
        <n v="70.22"/>
        <n v="921.39"/>
        <n v="1297.5999999999999"/>
        <n v="1089.9000000000001"/>
        <n v="18.48"/>
        <n v="158.51"/>
        <n v="222.26"/>
        <n v="202.08"/>
        <n v="1389.35"/>
        <n v="66.180000000000007"/>
        <n v="43.77"/>
        <n v="6.83"/>
        <n v="105.03"/>
        <n v="54.54"/>
        <n v="157.29"/>
        <n v="578.73"/>
        <n v="1496.33"/>
        <n v="350.11"/>
        <n v="270.93"/>
        <n v="124.47"/>
        <n v="68.73"/>
        <n v="138.52000000000001"/>
        <n v="352.81"/>
        <n v="66.209999999999994"/>
        <n v="159.88999999999999"/>
        <n v="138.26"/>
        <n v="663.98"/>
        <n v="60.34"/>
        <n v="43.91"/>
        <n v="145.41999999999999"/>
        <n v="104.07"/>
        <n v="194.75"/>
        <n v="265.19"/>
        <n v="549.25"/>
        <n v="1231.22"/>
        <n v="190.78"/>
        <n v="2740.08"/>
        <n v="237.44"/>
        <n v="3087.3"/>
        <n v="640.73"/>
        <n v="116.8"/>
        <n v="123.75"/>
        <n v="278.85000000000002"/>
        <n v="753.55"/>
        <n v="108.11"/>
        <n v="77.3"/>
        <n v="95.97"/>
        <n v="357.23"/>
        <n v="98.66"/>
        <n v="571.59"/>
        <n v="286.64"/>
        <n v="351.8"/>
        <n v="328.39"/>
        <n v="165.28"/>
        <n v="1056.9100000000001"/>
        <n v="112.78"/>
        <n v="232.46"/>
        <n v="64.8"/>
        <n v="4066.14"/>
        <n v="234.74"/>
        <n v="32.04"/>
        <n v="94.79"/>
        <n v="312.98"/>
        <n v="42.92"/>
        <n v="12.34"/>
        <n v="108.54"/>
        <n v="11.21"/>
        <n v="150.04"/>
        <n v="189.49"/>
        <n v="50.16"/>
        <n v="1479.48"/>
        <n v="216.18"/>
        <n v="685.32"/>
        <n v="775.3"/>
        <n v="179.9"/>
        <n v="494.27"/>
        <n v="1617.02"/>
        <n v="87.27"/>
        <n v="237.81"/>
        <n v="120.11"/>
        <n v="38.57"/>
        <n v="1554.24"/>
        <n v="1049.02"/>
        <n v="1043.6300000000001"/>
        <n v="29.83"/>
        <n v="284.76"/>
        <n v="768.24"/>
        <n v="649.4"/>
        <n v="65.760000000000005"/>
        <n v="130.02000000000001"/>
        <n v="35.64"/>
        <n v="1423.98"/>
        <n v="21.66"/>
        <n v="65.16"/>
        <n v="1319.35"/>
        <n v="198.79"/>
        <n v="14.79"/>
        <n v="199.39"/>
        <n v="2235.8200000000002"/>
        <n v="145.75"/>
        <n v="836.48"/>
        <n v="52.95"/>
        <n v="17.559999999999999"/>
        <n v="28.31"/>
        <n v="24.09"/>
        <n v="1318.25"/>
        <n v="149.79"/>
        <n v="156.5"/>
        <n v="14.27"/>
        <n v="101.57"/>
        <n v="17.57"/>
        <n v="118.19"/>
        <n v="857.5"/>
        <n v="1251.8699999999999"/>
        <n v="939"/>
        <n v="109.44"/>
        <n v="69.72"/>
        <n v="182.97"/>
        <n v="1093.67"/>
        <n v="443.2"/>
        <n v="33.659999999999997"/>
        <n v="316.86"/>
        <n v="533.37"/>
        <n v="1551.94"/>
        <n v="128.63999999999999"/>
        <n v="1230.8699999999999"/>
        <n v="1306.6099999999999"/>
        <n v="433.17"/>
        <n v="140.24"/>
        <n v="78.12"/>
        <n v="777.33"/>
        <n v="129.82"/>
        <n v="2125.16"/>
        <n v="136.66999999999999"/>
        <n v="243.04"/>
        <n v="827.9"/>
        <n v="1124.1500000000001"/>
        <n v="505.1"/>
        <n v="7.64"/>
        <n v="1566.09"/>
        <n v="350.36"/>
        <n v="2280.56"/>
        <n v="78.59"/>
        <n v="425.32"/>
        <n v="198"/>
      </sharedItems>
    </cacheField>
    <cacheField name="Profit" numFmtId="0">
      <sharedItems containsMixedTypes="1" containsNumber="1" minValue="3.3619999999999992" maxValue="6885.5300000000007"/>
    </cacheField>
  </cacheFields>
  <extLst>
    <ext xmlns:x14="http://schemas.microsoft.com/office/spreadsheetml/2009/9/main" uri="{725AE2AE-9491-48be-B2B4-4EB974FC3084}">
      <x14:pivotCacheDefinition pivotCacheId="14902278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s v="ORD-10062"/>
    <n v="45038"/>
    <x v="0"/>
    <x v="0"/>
    <x v="0"/>
    <x v="0"/>
    <x v="0"/>
    <x v="0"/>
    <x v="0"/>
    <x v="0"/>
    <x v="0"/>
    <x v="0"/>
    <n v="16.579999999999998"/>
    <n v="14"/>
    <n v="0.15"/>
    <n v="232.11999999999998"/>
    <n v="34.817999999999998"/>
    <n v="197.30199999999996"/>
    <x v="0"/>
    <n v="88.781999999999968"/>
  </r>
  <r>
    <s v="ORD-10226"/>
    <n v="45260"/>
    <x v="0"/>
    <x v="1"/>
    <x v="1"/>
    <x v="0"/>
    <x v="1"/>
    <x v="1"/>
    <x v="1"/>
    <x v="1"/>
    <x v="1"/>
    <x v="1"/>
    <n v="431.34"/>
    <n v="5"/>
    <n v="0.05"/>
    <n v="2156.6999999999998"/>
    <n v="107.83499999999999"/>
    <n v="2048.8649999999998"/>
    <x v="1"/>
    <n v="1065.4049999999997"/>
  </r>
  <r>
    <s v="ORD-10550"/>
    <n v="45000"/>
    <x v="0"/>
    <x v="1"/>
    <x v="2"/>
    <x v="1"/>
    <x v="1"/>
    <x v="2"/>
    <x v="2"/>
    <x v="2"/>
    <x v="1"/>
    <x v="1"/>
    <n v="244.55"/>
    <n v="1"/>
    <n v="0.05"/>
    <n v="244.55"/>
    <n v="12.227500000000001"/>
    <n v="232.32250000000002"/>
    <x v="2"/>
    <n v="120.81250000000001"/>
  </r>
  <r>
    <s v="ORD-10356"/>
    <n v="44619"/>
    <x v="0"/>
    <x v="2"/>
    <x v="3"/>
    <x v="0"/>
    <x v="0"/>
    <x v="3"/>
    <x v="3"/>
    <x v="3"/>
    <x v="2"/>
    <x v="1"/>
    <n v="21.06"/>
    <n v="29"/>
    <n v="0.2"/>
    <n v="610.74"/>
    <n v="122.14800000000001"/>
    <n v="488.59199999999998"/>
    <x v="3"/>
    <n v="219.87199999999996"/>
  </r>
  <r>
    <s v="ORD-10823"/>
    <n v="45041"/>
    <x v="0"/>
    <x v="2"/>
    <x v="4"/>
    <x v="1"/>
    <x v="1"/>
    <x v="2"/>
    <x v="4"/>
    <x v="0"/>
    <x v="0"/>
    <x v="2"/>
    <n v="265.26"/>
    <n v="3"/>
    <n v="0.15"/>
    <n v="795.78"/>
    <n v="119.36699999999999"/>
    <n v="676.41300000000001"/>
    <x v="4"/>
    <n v="351.733"/>
  </r>
  <r>
    <s v="ORD-10439"/>
    <n v="45114"/>
    <x v="0"/>
    <x v="2"/>
    <x v="3"/>
    <x v="0"/>
    <x v="2"/>
    <x v="4"/>
    <x v="5"/>
    <x v="3"/>
    <x v="2"/>
    <x v="2"/>
    <n v="47.15"/>
    <n v="7"/>
    <n v="0.1"/>
    <n v="330.05"/>
    <n v="33.005000000000003"/>
    <n v="297.04500000000002"/>
    <x v="5"/>
    <n v="172.28500000000003"/>
  </r>
  <r>
    <s v="ORD-10465"/>
    <n v="45012"/>
    <x v="0"/>
    <x v="1"/>
    <x v="2"/>
    <x v="0"/>
    <x v="1"/>
    <x v="2"/>
    <x v="6"/>
    <x v="4"/>
    <x v="2"/>
    <x v="2"/>
    <n v="201.39"/>
    <n v="8"/>
    <n v="0.05"/>
    <n v="1611.12"/>
    <n v="80.555999999999997"/>
    <n v="1530.5639999999999"/>
    <x v="6"/>
    <n v="795.89399999999989"/>
  </r>
  <r>
    <s v="ORD-10238"/>
    <n v="44992"/>
    <x v="0"/>
    <x v="1"/>
    <x v="5"/>
    <x v="2"/>
    <x v="0"/>
    <x v="3"/>
    <x v="1"/>
    <x v="3"/>
    <x v="1"/>
    <x v="2"/>
    <n v="18.98"/>
    <n v="20"/>
    <n v="0"/>
    <n v="379.6"/>
    <n v="0"/>
    <n v="379.6"/>
    <x v="7"/>
    <n v="170.82000000000002"/>
  </r>
  <r>
    <s v="ORD-10145"/>
    <n v="45163"/>
    <x v="0"/>
    <x v="2"/>
    <x v="6"/>
    <x v="3"/>
    <x v="2"/>
    <x v="5"/>
    <x v="2"/>
    <x v="2"/>
    <x v="2"/>
    <x v="1"/>
    <n v="86.44"/>
    <n v="2"/>
    <n v="0.15"/>
    <n v="172.88"/>
    <n v="25.931999999999999"/>
    <n v="146.94800000000001"/>
    <x v="8"/>
    <n v="85.228000000000009"/>
  </r>
  <r>
    <s v="ORD-10509"/>
    <n v="44887"/>
    <x v="0"/>
    <x v="0"/>
    <x v="0"/>
    <x v="3"/>
    <x v="3"/>
    <x v="6"/>
    <x v="7"/>
    <x v="4"/>
    <x v="0"/>
    <x v="1"/>
    <s v="N/A"/>
    <n v="20"/>
    <n v="0"/>
    <n v="0"/>
    <n v="0"/>
    <n v="0"/>
    <x v="9"/>
    <e v="#VALUE!"/>
  </r>
  <r>
    <s v="ORD-10070"/>
    <n v="44933"/>
    <x v="0"/>
    <x v="1"/>
    <x v="5"/>
    <x v="0"/>
    <x v="3"/>
    <x v="7"/>
    <x v="4"/>
    <x v="2"/>
    <x v="2"/>
    <x v="2"/>
    <n v="11.11"/>
    <n v="4"/>
    <n v="0.2"/>
    <n v="44.44"/>
    <n v="8.8879999999999999"/>
    <n v="35.552"/>
    <x v="10"/>
    <n v="22.042000000000002"/>
  </r>
  <r>
    <s v="ORD-10034"/>
    <n v="44991"/>
    <x v="0"/>
    <x v="2"/>
    <x v="4"/>
    <x v="1"/>
    <x v="0"/>
    <x v="8"/>
    <x v="6"/>
    <x v="0"/>
    <x v="1"/>
    <x v="1"/>
    <n v="10.44"/>
    <n v="13"/>
    <n v="0"/>
    <n v="135.72"/>
    <n v="0"/>
    <n v="135.72"/>
    <x v="11"/>
    <n v="61.069999999999993"/>
  </r>
  <r>
    <s v="ORD-10287"/>
    <n v="44741"/>
    <x v="0"/>
    <x v="3"/>
    <x v="7"/>
    <x v="2"/>
    <x v="4"/>
    <x v="9"/>
    <x v="4"/>
    <x v="3"/>
    <x v="0"/>
    <x v="1"/>
    <n v="698.15"/>
    <n v="4"/>
    <n v="0.1"/>
    <n v="2792.6"/>
    <n v="279.26"/>
    <n v="2513.34"/>
    <x v="12"/>
    <n v="955.07000000000016"/>
  </r>
  <r>
    <s v="ORD-10538"/>
    <n v="44962"/>
    <x v="0"/>
    <x v="3"/>
    <x v="8"/>
    <x v="2"/>
    <x v="2"/>
    <x v="10"/>
    <x v="3"/>
    <x v="0"/>
    <x v="1"/>
    <x v="2"/>
    <n v="53.98"/>
    <n v="8"/>
    <n v="0.15"/>
    <n v="431.84"/>
    <n v="64.775999999999996"/>
    <n v="367.06399999999996"/>
    <x v="13"/>
    <n v="212.89399999999998"/>
  </r>
  <r>
    <s v="ORD-10890"/>
    <n v="45205"/>
    <x v="0"/>
    <x v="1"/>
    <x v="5"/>
    <x v="0"/>
    <x v="4"/>
    <x v="11"/>
    <x v="0"/>
    <x v="1"/>
    <x v="2"/>
    <x v="1"/>
    <n v="1012.38"/>
    <n v="6"/>
    <n v="0"/>
    <n v="6074.28"/>
    <n v="0"/>
    <n v="6074.28"/>
    <x v="14"/>
    <n v="2308.2299999999996"/>
  </r>
  <r>
    <s v="ORD-10241"/>
    <n v="44859"/>
    <x v="0"/>
    <x v="0"/>
    <x v="0"/>
    <x v="2"/>
    <x v="3"/>
    <x v="6"/>
    <x v="8"/>
    <x v="1"/>
    <x v="2"/>
    <x v="1"/>
    <n v="381.06"/>
    <n v="22"/>
    <n v="0.15"/>
    <n v="8383.32"/>
    <n v="1257.4979999999998"/>
    <n v="7125.8220000000001"/>
    <x v="15"/>
    <n v="4418.0120000000006"/>
  </r>
  <r>
    <s v="ORD-10555"/>
    <n v="45114"/>
    <x v="0"/>
    <x v="1"/>
    <x v="5"/>
    <x v="3"/>
    <x v="1"/>
    <x v="1"/>
    <x v="1"/>
    <x v="0"/>
    <x v="3"/>
    <x v="1"/>
    <n v="390.24"/>
    <n v="1"/>
    <n v="0"/>
    <n v="390.24"/>
    <n v="0"/>
    <n v="390.24"/>
    <x v="16"/>
    <n v="202.92000000000002"/>
  </r>
  <r>
    <s v="ORD-10212"/>
    <n v="44637"/>
    <x v="0"/>
    <x v="0"/>
    <x v="9"/>
    <x v="0"/>
    <x v="2"/>
    <x v="5"/>
    <x v="8"/>
    <x v="1"/>
    <x v="3"/>
    <x v="1"/>
    <n v="76.13"/>
    <n v="8"/>
    <n v="0.15"/>
    <n v="609.04"/>
    <n v="91.355999999999995"/>
    <n v="517.68399999999997"/>
    <x v="17"/>
    <n v="300.25399999999996"/>
  </r>
  <r>
    <s v="ORD-10831"/>
    <n v="44601"/>
    <x v="0"/>
    <x v="1"/>
    <x v="5"/>
    <x v="1"/>
    <x v="1"/>
    <x v="12"/>
    <x v="2"/>
    <x v="3"/>
    <x v="4"/>
    <x v="1"/>
    <n v="128.66"/>
    <n v="3"/>
    <n v="0.15"/>
    <n v="385.98"/>
    <n v="57.896999999999998"/>
    <n v="328.08300000000003"/>
    <x v="18"/>
    <n v="170.60300000000004"/>
  </r>
  <r>
    <s v="ORD-10566"/>
    <n v="44862"/>
    <x v="0"/>
    <x v="1"/>
    <x v="1"/>
    <x v="3"/>
    <x v="4"/>
    <x v="13"/>
    <x v="0"/>
    <x v="2"/>
    <x v="2"/>
    <x v="0"/>
    <n v="416.46"/>
    <n v="2"/>
    <n v="0"/>
    <n v="832.92"/>
    <n v="0"/>
    <n v="832.92"/>
    <x v="19"/>
    <n v="316.51"/>
  </r>
  <r>
    <s v="ORD-10002"/>
    <n v="44914"/>
    <x v="0"/>
    <x v="2"/>
    <x v="3"/>
    <x v="0"/>
    <x v="4"/>
    <x v="4"/>
    <x v="3"/>
    <x v="1"/>
    <x v="4"/>
    <x v="1"/>
    <n v="53.18"/>
    <n v="6"/>
    <n v="0.1"/>
    <n v="319.08"/>
    <n v="31.908000000000001"/>
    <n v="287.17199999999997"/>
    <x v="20"/>
    <n v="109.12199999999996"/>
  </r>
  <r>
    <s v="ORD-10704"/>
    <n v="44642"/>
    <x v="0"/>
    <x v="4"/>
    <x v="10"/>
    <x v="0"/>
    <x v="3"/>
    <x v="14"/>
    <x v="0"/>
    <x v="0"/>
    <x v="1"/>
    <x v="1"/>
    <n v="6.87"/>
    <n v="27"/>
    <n v="0"/>
    <n v="185.49"/>
    <n v="0"/>
    <n v="185.49"/>
    <x v="21"/>
    <n v="115.00000000000001"/>
  </r>
  <r>
    <s v="ORD-10696"/>
    <n v="44957"/>
    <x v="0"/>
    <x v="1"/>
    <x v="1"/>
    <x v="2"/>
    <x v="2"/>
    <x v="15"/>
    <x v="5"/>
    <x v="1"/>
    <x v="0"/>
    <x v="2"/>
    <n v="172.11"/>
    <n v="1"/>
    <n v="0.1"/>
    <n v="172.11"/>
    <n v="17.211000000000002"/>
    <n v="154.899"/>
    <x v="22"/>
    <n v="89.838999999999999"/>
  </r>
  <r>
    <s v="ORD-10155"/>
    <n v="45074"/>
    <x v="0"/>
    <x v="0"/>
    <x v="9"/>
    <x v="1"/>
    <x v="4"/>
    <x v="4"/>
    <x v="6"/>
    <x v="1"/>
    <x v="0"/>
    <x v="0"/>
    <n v="55.69"/>
    <n v="6"/>
    <n v="0"/>
    <n v="334.14"/>
    <n v="0"/>
    <n v="334.14"/>
    <x v="23"/>
    <n v="126.97"/>
  </r>
  <r>
    <s v="ORD-10560"/>
    <n v="45164"/>
    <x v="0"/>
    <x v="1"/>
    <x v="1"/>
    <x v="1"/>
    <x v="4"/>
    <x v="11"/>
    <x v="9"/>
    <x v="3"/>
    <x v="1"/>
    <x v="1"/>
    <n v="1047.9100000000001"/>
    <n v="6"/>
    <n v="0.1"/>
    <n v="6287.4600000000009"/>
    <n v="628.74600000000009"/>
    <n v="5658.7140000000009"/>
    <x v="24"/>
    <n v="2150.3140000000008"/>
  </r>
  <r>
    <s v="ORD-10431"/>
    <n v="45078"/>
    <x v="0"/>
    <x v="3"/>
    <x v="7"/>
    <x v="1"/>
    <x v="0"/>
    <x v="0"/>
    <x v="10"/>
    <x v="1"/>
    <x v="1"/>
    <x v="1"/>
    <n v="15.29"/>
    <n v="17"/>
    <n v="0"/>
    <n v="259.93"/>
    <n v="0"/>
    <n v="259.93"/>
    <x v="25"/>
    <n v="116.97"/>
  </r>
  <r>
    <s v="ORD-10454"/>
    <n v="44726"/>
    <x v="0"/>
    <x v="3"/>
    <x v="11"/>
    <x v="1"/>
    <x v="3"/>
    <x v="6"/>
    <x v="11"/>
    <x v="2"/>
    <x v="2"/>
    <x v="2"/>
    <n v="366.33"/>
    <n v="30"/>
    <n v="0.2"/>
    <n v="10989.9"/>
    <n v="2197.98"/>
    <n v="8791.92"/>
    <x v="26"/>
    <n v="5450.99"/>
  </r>
  <r>
    <s v="ORD-10136"/>
    <n v="45258"/>
    <x v="0"/>
    <x v="4"/>
    <x v="10"/>
    <x v="1"/>
    <x v="0"/>
    <x v="16"/>
    <x v="0"/>
    <x v="3"/>
    <x v="4"/>
    <x v="1"/>
    <n v="10.83"/>
    <n v="14"/>
    <n v="0.05"/>
    <n v="151.62"/>
    <n v="7.5810000000000004"/>
    <n v="144.03900000000002"/>
    <x v="27"/>
    <n v="64.819000000000017"/>
  </r>
  <r>
    <s v="ORD-10426"/>
    <n v="44785"/>
    <x v="0"/>
    <x v="4"/>
    <x v="10"/>
    <x v="2"/>
    <x v="1"/>
    <x v="1"/>
    <x v="3"/>
    <x v="3"/>
    <x v="3"/>
    <x v="0"/>
    <n v="386.44"/>
    <n v="2"/>
    <n v="0"/>
    <n v="772.88"/>
    <n v="0"/>
    <n v="772.88"/>
    <x v="28"/>
    <n v="401.9"/>
  </r>
  <r>
    <s v="ORD-10097"/>
    <n v="44919"/>
    <x v="0"/>
    <x v="1"/>
    <x v="1"/>
    <x v="2"/>
    <x v="4"/>
    <x v="4"/>
    <x v="3"/>
    <x v="2"/>
    <x v="1"/>
    <x v="2"/>
    <n v="45"/>
    <n v="1"/>
    <n v="0"/>
    <n v="45"/>
    <n v="0"/>
    <n v="45"/>
    <x v="29"/>
    <n v="17.100000000000001"/>
  </r>
  <r>
    <s v="ORD-10025"/>
    <n v="45006"/>
    <x v="0"/>
    <x v="0"/>
    <x v="0"/>
    <x v="3"/>
    <x v="3"/>
    <x v="6"/>
    <x v="1"/>
    <x v="3"/>
    <x v="2"/>
    <x v="2"/>
    <s v="N/A"/>
    <n v="23"/>
    <n v="0.05"/>
    <n v="0"/>
    <n v="0"/>
    <n v="0"/>
    <x v="9"/>
    <e v="#VALUE!"/>
  </r>
  <r>
    <s v="ORD-10357"/>
    <n v="44946"/>
    <x v="0"/>
    <x v="2"/>
    <x v="6"/>
    <x v="0"/>
    <x v="0"/>
    <x v="8"/>
    <x v="9"/>
    <x v="4"/>
    <x v="3"/>
    <x v="1"/>
    <n v="11.32"/>
    <n v="11"/>
    <n v="0.15"/>
    <n v="124.52000000000001"/>
    <n v="18.678000000000001"/>
    <n v="105.84200000000001"/>
    <x v="30"/>
    <n v="47.632000000000012"/>
  </r>
  <r>
    <s v="ORD-10216"/>
    <n v="44837"/>
    <x v="0"/>
    <x v="2"/>
    <x v="6"/>
    <x v="3"/>
    <x v="1"/>
    <x v="2"/>
    <x v="0"/>
    <x v="2"/>
    <x v="3"/>
    <x v="2"/>
    <n v="235.72"/>
    <n v="7"/>
    <n v="0.2"/>
    <n v="1650.04"/>
    <n v="330.00800000000004"/>
    <n v="1320.0319999999999"/>
    <x v="31"/>
    <n v="686.42199999999991"/>
  </r>
  <r>
    <s v="ORD-10722"/>
    <n v="45259"/>
    <x v="0"/>
    <x v="3"/>
    <x v="8"/>
    <x v="0"/>
    <x v="2"/>
    <x v="17"/>
    <x v="5"/>
    <x v="1"/>
    <x v="0"/>
    <x v="0"/>
    <n v="108.24"/>
    <n v="7"/>
    <n v="0.15"/>
    <n v="757.68"/>
    <n v="113.65199999999999"/>
    <n v="644.02800000000002"/>
    <x v="32"/>
    <n v="373.53800000000001"/>
  </r>
  <r>
    <s v="ORD-10251"/>
    <n v="45161"/>
    <x v="0"/>
    <x v="3"/>
    <x v="11"/>
    <x v="0"/>
    <x v="1"/>
    <x v="18"/>
    <x v="5"/>
    <x v="4"/>
    <x v="2"/>
    <x v="2"/>
    <n v="473.24"/>
    <n v="7"/>
    <n v="0.05"/>
    <n v="3312.6800000000003"/>
    <n v="165.63400000000001"/>
    <n v="3147.0460000000003"/>
    <x v="33"/>
    <n v="1636.4660000000003"/>
  </r>
  <r>
    <s v="ORD-10833"/>
    <n v="44979"/>
    <x v="0"/>
    <x v="1"/>
    <x v="5"/>
    <x v="2"/>
    <x v="2"/>
    <x v="4"/>
    <x v="8"/>
    <x v="3"/>
    <x v="1"/>
    <x v="1"/>
    <n v="38.520000000000003"/>
    <n v="4"/>
    <n v="0"/>
    <n v="154.08000000000001"/>
    <n v="0"/>
    <n v="154.08000000000001"/>
    <x v="34"/>
    <n v="89.370000000000019"/>
  </r>
  <r>
    <s v="ORD-10603"/>
    <n v="44804"/>
    <x v="0"/>
    <x v="1"/>
    <x v="5"/>
    <x v="0"/>
    <x v="3"/>
    <x v="6"/>
    <x v="1"/>
    <x v="1"/>
    <x v="4"/>
    <x v="2"/>
    <n v="308.12"/>
    <n v="3"/>
    <n v="0.2"/>
    <n v="924.36"/>
    <n v="184.87200000000001"/>
    <n v="739.48800000000006"/>
    <x v="35"/>
    <n v="458.47800000000007"/>
  </r>
  <r>
    <s v="ORD-10359"/>
    <n v="45057"/>
    <x v="0"/>
    <x v="2"/>
    <x v="3"/>
    <x v="2"/>
    <x v="3"/>
    <x v="19"/>
    <x v="0"/>
    <x v="3"/>
    <x v="1"/>
    <x v="1"/>
    <n v="25.84"/>
    <m/>
    <n v="0.2"/>
    <n v="0"/>
    <n v="0"/>
    <n v="0"/>
    <x v="9"/>
    <e v="#VALUE!"/>
  </r>
  <r>
    <s v="ORD-10703"/>
    <n v="45219"/>
    <x v="0"/>
    <x v="2"/>
    <x v="3"/>
    <x v="0"/>
    <x v="1"/>
    <x v="1"/>
    <x v="1"/>
    <x v="0"/>
    <x v="3"/>
    <x v="1"/>
    <n v="417.01"/>
    <n v="3"/>
    <n v="0.2"/>
    <n v="1251.03"/>
    <n v="250.20600000000002"/>
    <n v="1000.824"/>
    <x v="36"/>
    <n v="520.43399999999997"/>
  </r>
  <r>
    <s v="ORD-10077"/>
    <n v="44655"/>
    <x v="0"/>
    <x v="1"/>
    <x v="2"/>
    <x v="2"/>
    <x v="2"/>
    <x v="10"/>
    <x v="8"/>
    <x v="2"/>
    <x v="1"/>
    <x v="0"/>
    <n v="59.65"/>
    <n v="6"/>
    <n v="0.15"/>
    <n v="357.9"/>
    <n v="53.684999999999995"/>
    <n v="304.21499999999997"/>
    <x v="37"/>
    <n v="176.44499999999999"/>
  </r>
  <r>
    <s v="ORD-10992"/>
    <n v="45288"/>
    <x v="0"/>
    <x v="0"/>
    <x v="12"/>
    <x v="3"/>
    <x v="1"/>
    <x v="12"/>
    <x v="8"/>
    <x v="0"/>
    <x v="0"/>
    <x v="0"/>
    <n v="119.42"/>
    <n v="3"/>
    <n v="0"/>
    <n v="358.26"/>
    <n v="0"/>
    <n v="358.26"/>
    <x v="38"/>
    <n v="186.29999999999998"/>
  </r>
  <r>
    <s v="ORD-10340"/>
    <n v="45172"/>
    <x v="0"/>
    <x v="4"/>
    <x v="13"/>
    <x v="1"/>
    <x v="4"/>
    <x v="13"/>
    <x v="0"/>
    <x v="0"/>
    <x v="1"/>
    <x v="0"/>
    <n v="453.92"/>
    <n v="6"/>
    <n v="0"/>
    <n v="2723.52"/>
    <n v="0"/>
    <n v="2723.52"/>
    <x v="39"/>
    <n v="1034.94"/>
  </r>
  <r>
    <s v="ORD-10682"/>
    <n v="45172"/>
    <x v="0"/>
    <x v="3"/>
    <x v="8"/>
    <x v="3"/>
    <x v="3"/>
    <x v="7"/>
    <x v="8"/>
    <x v="1"/>
    <x v="1"/>
    <x v="2"/>
    <n v="13.36"/>
    <n v="5"/>
    <n v="0"/>
    <n v="66.8"/>
    <n v="0"/>
    <n v="66.8"/>
    <x v="40"/>
    <n v="41.42"/>
  </r>
  <r>
    <s v="ORD-10862"/>
    <n v="44590"/>
    <x v="0"/>
    <x v="2"/>
    <x v="3"/>
    <x v="0"/>
    <x v="2"/>
    <x v="5"/>
    <x v="9"/>
    <x v="4"/>
    <x v="4"/>
    <x v="1"/>
    <n v="68.75"/>
    <n v="7"/>
    <n v="0"/>
    <n v="481.25"/>
    <n v="0"/>
    <n v="481.25"/>
    <x v="41"/>
    <n v="279.13"/>
  </r>
  <r>
    <s v="ORD-10909"/>
    <n v="45093"/>
    <x v="0"/>
    <x v="3"/>
    <x v="8"/>
    <x v="0"/>
    <x v="2"/>
    <x v="15"/>
    <x v="11"/>
    <x v="2"/>
    <x v="1"/>
    <x v="1"/>
    <n v="179.78"/>
    <n v="7"/>
    <n v="0.1"/>
    <n v="1258.46"/>
    <n v="125.846"/>
    <n v="1132.614"/>
    <x v="42"/>
    <n v="656.91399999999999"/>
  </r>
  <r>
    <s v="ORD-10945"/>
    <n v="45242"/>
    <x v="0"/>
    <x v="0"/>
    <x v="12"/>
    <x v="3"/>
    <x v="2"/>
    <x v="4"/>
    <x v="6"/>
    <x v="4"/>
    <x v="2"/>
    <x v="1"/>
    <n v="39.799999999999997"/>
    <n v="3"/>
    <n v="0.15"/>
    <n v="119.39999999999999"/>
    <n v="17.909999999999997"/>
    <n v="101.49"/>
    <x v="43"/>
    <n v="58.859999999999992"/>
  </r>
  <r>
    <s v="ORD-10390"/>
    <n v="45060"/>
    <x v="0"/>
    <x v="1"/>
    <x v="5"/>
    <x v="3"/>
    <x v="2"/>
    <x v="5"/>
    <x v="5"/>
    <x v="1"/>
    <x v="1"/>
    <x v="1"/>
    <n v="73.2"/>
    <n v="2"/>
    <n v="0.2"/>
    <n v="146.4"/>
    <n v="29.28"/>
    <n v="117.12"/>
    <x v="44"/>
    <n v="67.930000000000007"/>
  </r>
  <r>
    <s v="ORD-10516"/>
    <n v="44587"/>
    <x v="0"/>
    <x v="4"/>
    <x v="10"/>
    <x v="0"/>
    <x v="2"/>
    <x v="10"/>
    <x v="6"/>
    <x v="4"/>
    <x v="1"/>
    <x v="1"/>
    <n v="48.13"/>
    <n v="2"/>
    <n v="0"/>
    <n v="96.26"/>
    <n v="0"/>
    <n v="96.26"/>
    <x v="45"/>
    <n v="55.830000000000005"/>
  </r>
  <r>
    <s v="ORD-10173"/>
    <n v="44787"/>
    <x v="0"/>
    <x v="0"/>
    <x v="9"/>
    <x v="1"/>
    <x v="3"/>
    <x v="19"/>
    <x v="3"/>
    <x v="2"/>
    <x v="1"/>
    <x v="2"/>
    <n v="26.75"/>
    <n v="4"/>
    <n v="0.1"/>
    <n v="107"/>
    <n v="10.700000000000001"/>
    <n v="96.3"/>
    <x v="46"/>
    <n v="59.709999999999994"/>
  </r>
  <r>
    <s v="ORD-10698"/>
    <n v="44909"/>
    <x v="0"/>
    <x v="3"/>
    <x v="11"/>
    <x v="1"/>
    <x v="1"/>
    <x v="12"/>
    <x v="4"/>
    <x v="2"/>
    <x v="4"/>
    <x v="1"/>
    <n v="140.09"/>
    <n v="8"/>
    <n v="0.1"/>
    <n v="1120.72"/>
    <n v="112.072"/>
    <n v="1008.648"/>
    <x v="47"/>
    <n v="524.49800000000005"/>
  </r>
  <r>
    <s v="ORD-10409"/>
    <n v="44626"/>
    <x v="0"/>
    <x v="0"/>
    <x v="12"/>
    <x v="0"/>
    <x v="2"/>
    <x v="15"/>
    <x v="3"/>
    <x v="3"/>
    <x v="2"/>
    <x v="2"/>
    <n v="164.93"/>
    <n v="6"/>
    <n v="0.2"/>
    <n v="989.58"/>
    <n v="197.91600000000003"/>
    <n v="791.66399999999999"/>
    <x v="48"/>
    <n v="459.16399999999999"/>
  </r>
  <r>
    <s v="ORD-10842"/>
    <n v="44732"/>
    <x v="0"/>
    <x v="0"/>
    <x v="9"/>
    <x v="3"/>
    <x v="4"/>
    <x v="9"/>
    <x v="4"/>
    <x v="3"/>
    <x v="1"/>
    <x v="3"/>
    <n v="639.79999999999995"/>
    <n v="7"/>
    <n v="0.2"/>
    <n v="4478.5999999999995"/>
    <n v="895.71999999999991"/>
    <n v="3582.8799999999997"/>
    <x v="49"/>
    <n v="1361.4899999999998"/>
  </r>
  <r>
    <s v="ORD-10138"/>
    <n v="44700"/>
    <x v="0"/>
    <x v="3"/>
    <x v="7"/>
    <x v="3"/>
    <x v="2"/>
    <x v="15"/>
    <x v="9"/>
    <x v="0"/>
    <x v="2"/>
    <x v="3"/>
    <n v="177.83"/>
    <n v="6"/>
    <n v="0"/>
    <n v="1066.98"/>
    <n v="0"/>
    <n v="1066.98"/>
    <x v="50"/>
    <n v="618.85"/>
  </r>
  <r>
    <s v="ORD-10341"/>
    <n v="44595"/>
    <x v="0"/>
    <x v="3"/>
    <x v="8"/>
    <x v="3"/>
    <x v="3"/>
    <x v="6"/>
    <x v="6"/>
    <x v="4"/>
    <x v="1"/>
    <x v="1"/>
    <n v="390.67"/>
    <n v="15"/>
    <n v="0.2"/>
    <n v="5860.05"/>
    <n v="1172.01"/>
    <n v="4688.04"/>
    <x v="51"/>
    <n v="2906.58"/>
  </r>
  <r>
    <s v="ORD-10780"/>
    <n v="45054"/>
    <x v="0"/>
    <x v="1"/>
    <x v="1"/>
    <x v="1"/>
    <x v="2"/>
    <x v="5"/>
    <x v="5"/>
    <x v="0"/>
    <x v="3"/>
    <x v="1"/>
    <n v="82.07"/>
    <n v="6"/>
    <n v="0.15"/>
    <n v="492.41999999999996"/>
    <n v="73.862999999999985"/>
    <n v="418.55699999999996"/>
    <x v="52"/>
    <n v="242.75699999999995"/>
  </r>
  <r>
    <s v="ORD-10643"/>
    <n v="45217"/>
    <x v="0"/>
    <x v="4"/>
    <x v="14"/>
    <x v="1"/>
    <x v="0"/>
    <x v="20"/>
    <x v="1"/>
    <x v="0"/>
    <x v="2"/>
    <x v="1"/>
    <n v="27.31"/>
    <n v="7"/>
    <n v="0"/>
    <n v="191.17"/>
    <n v="0"/>
    <n v="191.17"/>
    <x v="53"/>
    <n v="86.029999999999987"/>
  </r>
  <r>
    <s v="ORD-10730"/>
    <n v="44608"/>
    <x v="0"/>
    <x v="1"/>
    <x v="5"/>
    <x v="1"/>
    <x v="3"/>
    <x v="6"/>
    <x v="9"/>
    <x v="0"/>
    <x v="4"/>
    <x v="1"/>
    <n v="361.61"/>
    <n v="24"/>
    <n v="0"/>
    <n v="8678.64"/>
    <n v="0"/>
    <n v="8678.64"/>
    <x v="54"/>
    <n v="5380.7599999999993"/>
  </r>
  <r>
    <s v="ORD-10058"/>
    <n v="45241"/>
    <x v="0"/>
    <x v="4"/>
    <x v="14"/>
    <x v="1"/>
    <x v="4"/>
    <x v="9"/>
    <x v="3"/>
    <x v="3"/>
    <x v="0"/>
    <x v="1"/>
    <n v="533.92999999999995"/>
    <n v="8"/>
    <n v="0"/>
    <n v="4271.4399999999996"/>
    <n v="0"/>
    <n v="4271.4399999999996"/>
    <x v="55"/>
    <n v="1623.1499999999996"/>
  </r>
  <r>
    <s v="ORD-10829"/>
    <n v="44823"/>
    <x v="0"/>
    <x v="2"/>
    <x v="6"/>
    <x v="2"/>
    <x v="2"/>
    <x v="10"/>
    <x v="11"/>
    <x v="0"/>
    <x v="4"/>
    <x v="2"/>
    <n v="54.55"/>
    <n v="5"/>
    <n v="0.2"/>
    <n v="272.75"/>
    <n v="54.550000000000004"/>
    <n v="218.2"/>
    <x v="56"/>
    <n v="126.55999999999999"/>
  </r>
  <r>
    <s v="ORD-10714"/>
    <n v="44678"/>
    <x v="0"/>
    <x v="1"/>
    <x v="1"/>
    <x v="2"/>
    <x v="4"/>
    <x v="13"/>
    <x v="7"/>
    <x v="3"/>
    <x v="4"/>
    <x v="1"/>
    <s v="N/A"/>
    <n v="7"/>
    <n v="0.05"/>
    <n v="0"/>
    <n v="0"/>
    <n v="0"/>
    <x v="9"/>
    <e v="#VALUE!"/>
  </r>
  <r>
    <s v="ORD-10230"/>
    <n v="45133"/>
    <x v="0"/>
    <x v="4"/>
    <x v="14"/>
    <x v="0"/>
    <x v="4"/>
    <x v="4"/>
    <x v="5"/>
    <x v="2"/>
    <x v="3"/>
    <x v="1"/>
    <n v="50.03"/>
    <n v="4"/>
    <n v="0"/>
    <n v="200.12"/>
    <n v="0"/>
    <n v="200.12"/>
    <x v="57"/>
    <n v="76.050000000000011"/>
  </r>
  <r>
    <s v="ORD-10649"/>
    <n v="44922"/>
    <x v="0"/>
    <x v="2"/>
    <x v="3"/>
    <x v="0"/>
    <x v="0"/>
    <x v="3"/>
    <x v="0"/>
    <x v="4"/>
    <x v="4"/>
    <x v="2"/>
    <n v="16.57"/>
    <n v="20"/>
    <n v="0"/>
    <n v="331.4"/>
    <n v="0"/>
    <n v="331.4"/>
    <x v="58"/>
    <n v="149.12999999999997"/>
  </r>
  <r>
    <s v="ORD-10176"/>
    <n v="44861"/>
    <x v="0"/>
    <x v="0"/>
    <x v="0"/>
    <x v="2"/>
    <x v="3"/>
    <x v="7"/>
    <x v="4"/>
    <x v="1"/>
    <x v="1"/>
    <x v="2"/>
    <n v="14.96"/>
    <n v="28"/>
    <n v="0.15"/>
    <n v="418.88"/>
    <n v="62.831999999999994"/>
    <n v="356.048"/>
    <x v="59"/>
    <n v="220.74799999999999"/>
  </r>
  <r>
    <s v="ORD-10065"/>
    <n v="44596"/>
    <x v="0"/>
    <x v="2"/>
    <x v="3"/>
    <x v="3"/>
    <x v="1"/>
    <x v="2"/>
    <x v="7"/>
    <x v="2"/>
    <x v="4"/>
    <x v="1"/>
    <n v="198.63"/>
    <n v="6"/>
    <n v="0.1"/>
    <n v="1191.78"/>
    <n v="119.178"/>
    <n v="1072.6019999999999"/>
    <x v="60"/>
    <n v="557.75199999999984"/>
  </r>
  <r>
    <s v="ORD-10103"/>
    <n v="44969"/>
    <x v="0"/>
    <x v="2"/>
    <x v="3"/>
    <x v="2"/>
    <x v="3"/>
    <x v="14"/>
    <x v="4"/>
    <x v="4"/>
    <x v="0"/>
    <x v="1"/>
    <n v="9.57"/>
    <n v="11"/>
    <n v="0"/>
    <n v="105.27000000000001"/>
    <n v="0"/>
    <n v="105.27000000000001"/>
    <x v="61"/>
    <n v="65.27000000000001"/>
  </r>
  <r>
    <s v="ORD-10875"/>
    <n v="44743"/>
    <x v="0"/>
    <x v="3"/>
    <x v="8"/>
    <x v="3"/>
    <x v="3"/>
    <x v="6"/>
    <x v="11"/>
    <x v="4"/>
    <x v="1"/>
    <x v="0"/>
    <n v="351.59"/>
    <n v="9"/>
    <n v="0.05"/>
    <n v="3164.31"/>
    <n v="158.21550000000002"/>
    <n v="3006.0945000000002"/>
    <x v="62"/>
    <n v="1863.7845000000002"/>
  </r>
  <r>
    <s v="ORD-10218"/>
    <n v="44691"/>
    <x v="0"/>
    <x v="1"/>
    <x v="1"/>
    <x v="0"/>
    <x v="4"/>
    <x v="4"/>
    <x v="6"/>
    <x v="4"/>
    <x v="3"/>
    <x v="1"/>
    <n v="54.64"/>
    <n v="2"/>
    <n v="0"/>
    <n v="109.28"/>
    <n v="0"/>
    <n v="109.28"/>
    <x v="63"/>
    <n v="41.53"/>
  </r>
  <r>
    <s v="ORD-10513"/>
    <n v="44967"/>
    <x v="0"/>
    <x v="1"/>
    <x v="1"/>
    <x v="3"/>
    <x v="0"/>
    <x v="8"/>
    <x v="10"/>
    <x v="4"/>
    <x v="3"/>
    <x v="1"/>
    <n v="8.76"/>
    <n v="5"/>
    <n v="0.15"/>
    <n v="43.8"/>
    <n v="6.5699999999999994"/>
    <n v="37.229999999999997"/>
    <x v="64"/>
    <n v="16.749999999999996"/>
  </r>
  <r>
    <s v="ORD-10666"/>
    <n v="44612"/>
    <x v="0"/>
    <x v="3"/>
    <x v="7"/>
    <x v="3"/>
    <x v="4"/>
    <x v="13"/>
    <x v="9"/>
    <x v="1"/>
    <x v="2"/>
    <x v="2"/>
    <n v="436.23"/>
    <n v="7"/>
    <n v="0"/>
    <n v="3053.61"/>
    <n v="0"/>
    <n v="3053.61"/>
    <x v="65"/>
    <n v="1160.3700000000001"/>
  </r>
  <r>
    <s v="ORD-10132"/>
    <n v="44897"/>
    <x v="0"/>
    <x v="1"/>
    <x v="1"/>
    <x v="2"/>
    <x v="4"/>
    <x v="9"/>
    <x v="5"/>
    <x v="0"/>
    <x v="0"/>
    <x v="1"/>
    <n v="572.59"/>
    <n v="4"/>
    <n v="0.05"/>
    <n v="2290.36"/>
    <n v="114.51800000000001"/>
    <n v="2175.8420000000001"/>
    <x v="66"/>
    <n v="826.82200000000012"/>
  </r>
  <r>
    <s v="ORD-10543"/>
    <n v="45194"/>
    <x v="0"/>
    <x v="3"/>
    <x v="7"/>
    <x v="2"/>
    <x v="2"/>
    <x v="5"/>
    <x v="8"/>
    <x v="3"/>
    <x v="2"/>
    <x v="2"/>
    <n v="66.209999999999994"/>
    <n v="3"/>
    <n v="0"/>
    <n v="198.63"/>
    <n v="0"/>
    <n v="198.63"/>
    <x v="67"/>
    <n v="115.21"/>
  </r>
  <r>
    <s v="ORD-10599"/>
    <n v="44567"/>
    <x v="0"/>
    <x v="0"/>
    <x v="0"/>
    <x v="1"/>
    <x v="1"/>
    <x v="21"/>
    <x v="2"/>
    <x v="1"/>
    <x v="2"/>
    <x v="2"/>
    <n v="269.42"/>
    <n v="3"/>
    <n v="0.05"/>
    <n v="808.26"/>
    <n v="40.413000000000004"/>
    <n v="767.84699999999998"/>
    <x v="68"/>
    <n v="399.27699999999999"/>
  </r>
  <r>
    <s v="ORD-10061"/>
    <n v="45105"/>
    <x v="0"/>
    <x v="3"/>
    <x v="11"/>
    <x v="3"/>
    <x v="1"/>
    <x v="1"/>
    <x v="5"/>
    <x v="1"/>
    <x v="3"/>
    <x v="2"/>
    <n v="398.65"/>
    <n v="3"/>
    <n v="0"/>
    <n v="1195.9499999999998"/>
    <n v="0"/>
    <n v="1195.9499999999998"/>
    <x v="69"/>
    <n v="621.88999999999987"/>
  </r>
  <r>
    <s v="ORD-10695"/>
    <n v="44711"/>
    <x v="0"/>
    <x v="1"/>
    <x v="2"/>
    <x v="1"/>
    <x v="1"/>
    <x v="1"/>
    <x v="5"/>
    <x v="3"/>
    <x v="3"/>
    <x v="1"/>
    <n v="396.03"/>
    <n v="5"/>
    <n v="0.15"/>
    <n v="1980.1499999999999"/>
    <n v="297.02249999999998"/>
    <n v="1683.1274999999998"/>
    <x v="70"/>
    <n v="875.22749999999985"/>
  </r>
  <r>
    <s v="ORD-10079"/>
    <n v="45149"/>
    <x v="0"/>
    <x v="4"/>
    <x v="14"/>
    <x v="0"/>
    <x v="0"/>
    <x v="8"/>
    <x v="1"/>
    <x v="3"/>
    <x v="2"/>
    <x v="0"/>
    <n v="8.6199999999999992"/>
    <n v="9"/>
    <n v="0.15"/>
    <n v="77.58"/>
    <n v="11.636999999999999"/>
    <n v="65.942999999999998"/>
    <x v="71"/>
    <n v="29.672999999999995"/>
  </r>
  <r>
    <s v="ORD-10978"/>
    <n v="44657"/>
    <x v="0"/>
    <x v="2"/>
    <x v="3"/>
    <x v="2"/>
    <x v="3"/>
    <x v="6"/>
    <x v="6"/>
    <x v="1"/>
    <x v="2"/>
    <x v="1"/>
    <n v="394.06"/>
    <n v="7"/>
    <n v="0.05"/>
    <n v="2758.42"/>
    <n v="137.92100000000002"/>
    <n v="2620.4990000000003"/>
    <x v="72"/>
    <n v="1624.7090000000003"/>
  </r>
  <r>
    <s v="ORD-10324"/>
    <n v="44597"/>
    <x v="0"/>
    <x v="0"/>
    <x v="0"/>
    <x v="3"/>
    <x v="4"/>
    <x v="22"/>
    <x v="5"/>
    <x v="2"/>
    <x v="2"/>
    <x v="1"/>
    <n v="327.58"/>
    <n v="6"/>
    <n v="0"/>
    <n v="1965.48"/>
    <n v="0"/>
    <n v="1965.48"/>
    <x v="73"/>
    <n v="746.88000000000011"/>
  </r>
  <r>
    <s v="ORD-10424"/>
    <n v="44931"/>
    <x v="0"/>
    <x v="3"/>
    <x v="11"/>
    <x v="2"/>
    <x v="3"/>
    <x v="14"/>
    <x v="7"/>
    <x v="2"/>
    <x v="3"/>
    <x v="3"/>
    <n v="8.44"/>
    <n v="25"/>
    <n v="0.15"/>
    <n v="211"/>
    <n v="31.65"/>
    <n v="179.35"/>
    <x v="74"/>
    <n v="111.19999999999999"/>
  </r>
  <r>
    <s v="ORD-10112"/>
    <n v="44694"/>
    <x v="0"/>
    <x v="3"/>
    <x v="11"/>
    <x v="3"/>
    <x v="4"/>
    <x v="11"/>
    <x v="3"/>
    <x v="4"/>
    <x v="0"/>
    <x v="1"/>
    <n v="832.2"/>
    <n v="4"/>
    <n v="0"/>
    <n v="3328.8"/>
    <n v="0"/>
    <n v="3328.8"/>
    <x v="75"/>
    <n v="1264.94"/>
  </r>
  <r>
    <s v="ORD-10859"/>
    <n v="44802"/>
    <x v="0"/>
    <x v="0"/>
    <x v="0"/>
    <x v="3"/>
    <x v="3"/>
    <x v="14"/>
    <x v="8"/>
    <x v="4"/>
    <x v="0"/>
    <x v="3"/>
    <n v="9.35"/>
    <n v="19"/>
    <n v="0"/>
    <n v="177.65"/>
    <n v="0"/>
    <n v="177.65"/>
    <x v="76"/>
    <n v="110.14"/>
  </r>
  <r>
    <s v="ORD-10933"/>
    <n v="45202"/>
    <x v="0"/>
    <x v="4"/>
    <x v="10"/>
    <x v="3"/>
    <x v="3"/>
    <x v="7"/>
    <x v="4"/>
    <x v="4"/>
    <x v="3"/>
    <x v="1"/>
    <n v="14.16"/>
    <n v="13"/>
    <n v="0"/>
    <n v="184.08"/>
    <n v="0"/>
    <n v="184.08"/>
    <x v="77"/>
    <n v="114.13000000000001"/>
  </r>
  <r>
    <s v="ORD-11033"/>
    <n v="45277"/>
    <x v="0"/>
    <x v="1"/>
    <x v="5"/>
    <x v="2"/>
    <x v="1"/>
    <x v="18"/>
    <x v="10"/>
    <x v="1"/>
    <x v="4"/>
    <x v="3"/>
    <n v="515.29"/>
    <n v="6"/>
    <n v="0.05"/>
    <n v="3091.74"/>
    <n v="154.58699999999999"/>
    <n v="2937.1529999999998"/>
    <x v="78"/>
    <n v="1527.3229999999999"/>
  </r>
  <r>
    <s v="ORD-10506"/>
    <n v="45130"/>
    <x v="0"/>
    <x v="4"/>
    <x v="14"/>
    <x v="3"/>
    <x v="0"/>
    <x v="16"/>
    <x v="10"/>
    <x v="1"/>
    <x v="3"/>
    <x v="1"/>
    <n v="11.99"/>
    <n v="6"/>
    <n v="0.2"/>
    <n v="71.94"/>
    <n v="14.388"/>
    <n v="57.552"/>
    <x v="79"/>
    <n v="25.902000000000001"/>
  </r>
  <r>
    <s v="ORD-10170"/>
    <n v="45163"/>
    <x v="0"/>
    <x v="1"/>
    <x v="1"/>
    <x v="2"/>
    <x v="3"/>
    <x v="6"/>
    <x v="1"/>
    <x v="4"/>
    <x v="0"/>
    <x v="0"/>
    <n v="358.03"/>
    <n v="11"/>
    <n v="0"/>
    <n v="3938.33"/>
    <n v="0"/>
    <n v="3938.33"/>
    <x v="80"/>
    <n v="2441.7600000000002"/>
  </r>
  <r>
    <s v="ORD-10570"/>
    <n v="44608"/>
    <x v="0"/>
    <x v="0"/>
    <x v="0"/>
    <x v="2"/>
    <x v="2"/>
    <x v="5"/>
    <x v="1"/>
    <x v="0"/>
    <x v="4"/>
    <x v="3"/>
    <n v="69.25"/>
    <n v="8"/>
    <n v="0.15"/>
    <n v="554"/>
    <n v="83.1"/>
    <n v="470.9"/>
    <x v="81"/>
    <n v="273.12"/>
  </r>
  <r>
    <s v="ORD-10806"/>
    <n v="45227"/>
    <x v="0"/>
    <x v="4"/>
    <x v="14"/>
    <x v="3"/>
    <x v="2"/>
    <x v="15"/>
    <x v="1"/>
    <x v="1"/>
    <x v="3"/>
    <x v="1"/>
    <n v="159.27000000000001"/>
    <n v="1"/>
    <n v="0.05"/>
    <n v="159.27000000000001"/>
    <n v="7.9635000000000007"/>
    <n v="151.3065"/>
    <x v="82"/>
    <n v="87.756500000000003"/>
  </r>
  <r>
    <s v="ORD-10414"/>
    <n v="44681"/>
    <x v="0"/>
    <x v="1"/>
    <x v="1"/>
    <x v="3"/>
    <x v="0"/>
    <x v="0"/>
    <x v="10"/>
    <x v="2"/>
    <x v="0"/>
    <x v="1"/>
    <n v="16.12"/>
    <n v="2"/>
    <n v="0.15"/>
    <n v="32.24"/>
    <n v="4.8360000000000003"/>
    <n v="27.404000000000003"/>
    <x v="83"/>
    <n v="12.334000000000003"/>
  </r>
  <r>
    <s v="ORD-10517"/>
    <n v="44904"/>
    <x v="0"/>
    <x v="0"/>
    <x v="9"/>
    <x v="3"/>
    <x v="4"/>
    <x v="4"/>
    <x v="6"/>
    <x v="2"/>
    <x v="2"/>
    <x v="1"/>
    <n v="55.23"/>
    <n v="8"/>
    <n v="0.2"/>
    <n v="441.84"/>
    <n v="88.367999999999995"/>
    <n v="353.47199999999998"/>
    <x v="84"/>
    <n v="134.32199999999997"/>
  </r>
  <r>
    <s v="ORD-10214"/>
    <n v="44617"/>
    <x v="0"/>
    <x v="0"/>
    <x v="9"/>
    <x v="2"/>
    <x v="2"/>
    <x v="10"/>
    <x v="7"/>
    <x v="3"/>
    <x v="4"/>
    <x v="1"/>
    <n v="47.32"/>
    <n v="3"/>
    <n v="0.15"/>
    <n v="141.96"/>
    <n v="21.294"/>
    <n v="120.66600000000001"/>
    <x v="85"/>
    <n v="69.986000000000018"/>
  </r>
  <r>
    <s v="ORD-10913"/>
    <n v="44708"/>
    <x v="0"/>
    <x v="0"/>
    <x v="9"/>
    <x v="1"/>
    <x v="2"/>
    <x v="5"/>
    <x v="6"/>
    <x v="1"/>
    <x v="0"/>
    <x v="1"/>
    <n v="75.23"/>
    <n v="5"/>
    <n v="0"/>
    <n v="376.15000000000003"/>
    <n v="0"/>
    <n v="376.15000000000003"/>
    <x v="86"/>
    <n v="218.17000000000004"/>
  </r>
  <r>
    <s v="ORD-10361"/>
    <n v="45249"/>
    <x v="0"/>
    <x v="1"/>
    <x v="1"/>
    <x v="2"/>
    <x v="1"/>
    <x v="1"/>
    <x v="7"/>
    <x v="1"/>
    <x v="2"/>
    <x v="0"/>
    <n v="354.4"/>
    <n v="6"/>
    <n v="0.1"/>
    <n v="2126.3999999999996"/>
    <n v="212.64"/>
    <n v="1913.7599999999998"/>
    <x v="87"/>
    <n v="995.15999999999974"/>
  </r>
  <r>
    <s v="ORD-10380"/>
    <n v="44680"/>
    <x v="0"/>
    <x v="1"/>
    <x v="2"/>
    <x v="3"/>
    <x v="2"/>
    <x v="15"/>
    <x v="10"/>
    <x v="2"/>
    <x v="4"/>
    <x v="3"/>
    <n v="160.31"/>
    <n v="7"/>
    <n v="0.05"/>
    <n v="1122.17"/>
    <n v="56.108500000000006"/>
    <n v="1066.0615"/>
    <x v="88"/>
    <n v="618.31150000000002"/>
  </r>
  <r>
    <s v="ORD-10936"/>
    <n v="44672"/>
    <x v="0"/>
    <x v="3"/>
    <x v="8"/>
    <x v="2"/>
    <x v="4"/>
    <x v="13"/>
    <x v="6"/>
    <x v="0"/>
    <x v="0"/>
    <x v="1"/>
    <s v="N/A"/>
    <n v="4"/>
    <n v="0"/>
    <n v="0"/>
    <n v="0"/>
    <n v="0"/>
    <x v="9"/>
    <e v="#VALUE!"/>
  </r>
  <r>
    <s v="ORD-10931"/>
    <n v="45126"/>
    <x v="0"/>
    <x v="2"/>
    <x v="6"/>
    <x v="0"/>
    <x v="3"/>
    <x v="23"/>
    <x v="9"/>
    <x v="4"/>
    <x v="3"/>
    <x v="2"/>
    <n v="18.670000000000002"/>
    <n v="12"/>
    <n v="0.2"/>
    <n v="224.04000000000002"/>
    <n v="44.808000000000007"/>
    <n v="179.23200000000003"/>
    <x v="89"/>
    <n v="111.12200000000003"/>
  </r>
  <r>
    <s v="ORD-10392"/>
    <n v="45155"/>
    <x v="0"/>
    <x v="4"/>
    <x v="13"/>
    <x v="2"/>
    <x v="4"/>
    <x v="9"/>
    <x v="10"/>
    <x v="1"/>
    <x v="4"/>
    <x v="0"/>
    <n v="568.24"/>
    <n v="3"/>
    <n v="0"/>
    <n v="1704.72"/>
    <n v="0"/>
    <n v="1704.72"/>
    <x v="90"/>
    <n v="647.79"/>
  </r>
  <r>
    <s v="ORD-10518"/>
    <n v="44596"/>
    <x v="0"/>
    <x v="3"/>
    <x v="7"/>
    <x v="1"/>
    <x v="4"/>
    <x v="9"/>
    <x v="11"/>
    <x v="0"/>
    <x v="2"/>
    <x v="1"/>
    <n v="525.79"/>
    <n v="1"/>
    <n v="0.1"/>
    <n v="525.79"/>
    <n v="52.579000000000001"/>
    <n v="473.21099999999996"/>
    <x v="91"/>
    <n v="179.82099999999997"/>
  </r>
  <r>
    <s v="ORD-10769"/>
    <n v="44744"/>
    <x v="0"/>
    <x v="0"/>
    <x v="9"/>
    <x v="3"/>
    <x v="0"/>
    <x v="3"/>
    <x v="9"/>
    <x v="4"/>
    <x v="1"/>
    <x v="1"/>
    <n v="16.579999999999998"/>
    <n v="10"/>
    <n v="0"/>
    <n v="165.79999999999998"/>
    <n v="0"/>
    <n v="165.79999999999998"/>
    <x v="92"/>
    <n v="74.609999999999985"/>
  </r>
  <r>
    <s v="ORD-11016"/>
    <n v="45031"/>
    <x v="0"/>
    <x v="2"/>
    <x v="3"/>
    <x v="0"/>
    <x v="1"/>
    <x v="21"/>
    <x v="0"/>
    <x v="2"/>
    <x v="1"/>
    <x v="1"/>
    <n v="267.04000000000002"/>
    <n v="1"/>
    <n v="0.05"/>
    <n v="267.04000000000002"/>
    <n v="13.352000000000002"/>
    <n v="253.68800000000002"/>
    <x v="93"/>
    <n v="131.91800000000001"/>
  </r>
  <r>
    <s v="ORD-10653"/>
    <n v="44595"/>
    <x v="0"/>
    <x v="1"/>
    <x v="2"/>
    <x v="3"/>
    <x v="1"/>
    <x v="12"/>
    <x v="3"/>
    <x v="3"/>
    <x v="0"/>
    <x v="1"/>
    <n v="172.71"/>
    <n v="7"/>
    <n v="0"/>
    <n v="1208.97"/>
    <n v="0"/>
    <n v="1208.97"/>
    <x v="94"/>
    <n v="628.66000000000008"/>
  </r>
  <r>
    <s v="ORD-10088"/>
    <n v="45081"/>
    <x v="0"/>
    <x v="1"/>
    <x v="1"/>
    <x v="2"/>
    <x v="2"/>
    <x v="15"/>
    <x v="11"/>
    <x v="1"/>
    <x v="0"/>
    <x v="1"/>
    <n v="177.26"/>
    <n v="2"/>
    <n v="0.1"/>
    <n v="354.52"/>
    <n v="35.451999999999998"/>
    <n v="319.06799999999998"/>
    <x v="95"/>
    <n v="185.05799999999999"/>
  </r>
  <r>
    <s v="ORD-10428"/>
    <n v="44642"/>
    <x v="0"/>
    <x v="3"/>
    <x v="11"/>
    <x v="3"/>
    <x v="4"/>
    <x v="11"/>
    <x v="11"/>
    <x v="0"/>
    <x v="4"/>
    <x v="1"/>
    <n v="759.16"/>
    <n v="1"/>
    <n v="0.05"/>
    <n v="759.16"/>
    <n v="37.957999999999998"/>
    <n v="721.202"/>
    <x v="96"/>
    <n v="274.06200000000001"/>
  </r>
  <r>
    <s v="ORD-10389"/>
    <n v="44654"/>
    <x v="0"/>
    <x v="0"/>
    <x v="0"/>
    <x v="2"/>
    <x v="3"/>
    <x v="14"/>
    <x v="10"/>
    <x v="2"/>
    <x v="1"/>
    <x v="1"/>
    <n v="9.9"/>
    <n v="22"/>
    <n v="0"/>
    <n v="217.8"/>
    <n v="0"/>
    <n v="217.8"/>
    <x v="97"/>
    <n v="135.04000000000002"/>
  </r>
  <r>
    <s v="ORD-10108"/>
    <n v="45073"/>
    <x v="0"/>
    <x v="2"/>
    <x v="3"/>
    <x v="0"/>
    <x v="0"/>
    <x v="20"/>
    <x v="7"/>
    <x v="2"/>
    <x v="4"/>
    <x v="1"/>
    <n v="24.81"/>
    <n v="16"/>
    <n v="0"/>
    <n v="396.96"/>
    <n v="0"/>
    <n v="396.96"/>
    <x v="98"/>
    <n v="178.62999999999997"/>
  </r>
  <r>
    <s v="ORD-11027"/>
    <n v="44793"/>
    <x v="0"/>
    <x v="2"/>
    <x v="6"/>
    <x v="0"/>
    <x v="4"/>
    <x v="11"/>
    <x v="8"/>
    <x v="4"/>
    <x v="0"/>
    <x v="3"/>
    <n v="1006.31"/>
    <n v="7"/>
    <n v="0"/>
    <n v="7044.17"/>
    <n v="0"/>
    <n v="7044.17"/>
    <x v="99"/>
    <n v="2676.7799999999997"/>
  </r>
  <r>
    <s v="ORD-10921"/>
    <n v="44775"/>
    <x v="0"/>
    <x v="4"/>
    <x v="10"/>
    <x v="3"/>
    <x v="2"/>
    <x v="10"/>
    <x v="2"/>
    <x v="1"/>
    <x v="3"/>
    <x v="1"/>
    <s v="N/A"/>
    <n v="3"/>
    <n v="0.1"/>
    <n v="0"/>
    <n v="0"/>
    <n v="0"/>
    <x v="9"/>
    <e v="#VALUE!"/>
  </r>
  <r>
    <s v="ORD-10422"/>
    <n v="45231"/>
    <x v="0"/>
    <x v="0"/>
    <x v="12"/>
    <x v="0"/>
    <x v="1"/>
    <x v="21"/>
    <x v="8"/>
    <x v="4"/>
    <x v="2"/>
    <x v="1"/>
    <n v="303.69"/>
    <n v="2"/>
    <n v="0.1"/>
    <n v="607.38"/>
    <n v="60.738"/>
    <n v="546.64200000000005"/>
    <x v="100"/>
    <n v="284.25200000000007"/>
  </r>
  <r>
    <s v="ORD-10881"/>
    <n v="44587"/>
    <x v="0"/>
    <x v="3"/>
    <x v="8"/>
    <x v="3"/>
    <x v="1"/>
    <x v="18"/>
    <x v="3"/>
    <x v="2"/>
    <x v="3"/>
    <x v="1"/>
    <n v="480.98"/>
    <n v="6"/>
    <n v="0"/>
    <n v="2885.88"/>
    <n v="0"/>
    <n v="2885.88"/>
    <x v="101"/>
    <n v="1500.66"/>
  </r>
  <r>
    <s v="ORD-10036"/>
    <n v="44950"/>
    <x v="0"/>
    <x v="0"/>
    <x v="12"/>
    <x v="0"/>
    <x v="3"/>
    <x v="14"/>
    <x v="10"/>
    <x v="1"/>
    <x v="3"/>
    <x v="1"/>
    <n v="7.52"/>
    <n v="3"/>
    <n v="0.2"/>
    <n v="22.56"/>
    <n v="4.5119999999999996"/>
    <n v="18.047999999999998"/>
    <x v="102"/>
    <n v="11.187999999999999"/>
  </r>
  <r>
    <s v="ORD-10553"/>
    <n v="44575"/>
    <x v="0"/>
    <x v="4"/>
    <x v="13"/>
    <x v="2"/>
    <x v="0"/>
    <x v="20"/>
    <x v="7"/>
    <x v="4"/>
    <x v="4"/>
    <x v="1"/>
    <n v="19.23"/>
    <n v="12"/>
    <n v="0.05"/>
    <n v="230.76"/>
    <n v="11.538"/>
    <n v="219.22199999999998"/>
    <x v="103"/>
    <n v="98.651999999999987"/>
  </r>
  <r>
    <s v="ORD-10941"/>
    <n v="45080"/>
    <x v="0"/>
    <x v="3"/>
    <x v="8"/>
    <x v="2"/>
    <x v="0"/>
    <x v="0"/>
    <x v="10"/>
    <x v="2"/>
    <x v="3"/>
    <x v="2"/>
    <n v="14.27"/>
    <n v="4"/>
    <n v="0.15"/>
    <n v="57.08"/>
    <n v="8.5619999999999994"/>
    <n v="48.518000000000001"/>
    <x v="104"/>
    <n v="21.827999999999999"/>
  </r>
  <r>
    <s v="ORD-10932"/>
    <n v="45117"/>
    <x v="0"/>
    <x v="3"/>
    <x v="7"/>
    <x v="0"/>
    <x v="2"/>
    <x v="10"/>
    <x v="1"/>
    <x v="2"/>
    <x v="1"/>
    <x v="1"/>
    <n v="60.95"/>
    <n v="8"/>
    <n v="0.2"/>
    <n v="487.6"/>
    <n v="97.52000000000001"/>
    <n v="390.08000000000004"/>
    <x v="105"/>
    <n v="226.25000000000003"/>
  </r>
  <r>
    <s v="ORD-10280"/>
    <n v="44578"/>
    <x v="0"/>
    <x v="4"/>
    <x v="10"/>
    <x v="1"/>
    <x v="0"/>
    <x v="16"/>
    <x v="5"/>
    <x v="3"/>
    <x v="2"/>
    <x v="1"/>
    <n v="14.53"/>
    <n v="20"/>
    <n v="0"/>
    <n v="290.59999999999997"/>
    <n v="0"/>
    <n v="290.59999999999997"/>
    <x v="106"/>
    <n v="130.76999999999995"/>
  </r>
  <r>
    <s v="ORD-10844"/>
    <n v="44982"/>
    <x v="0"/>
    <x v="4"/>
    <x v="13"/>
    <x v="1"/>
    <x v="2"/>
    <x v="5"/>
    <x v="6"/>
    <x v="0"/>
    <x v="1"/>
    <x v="3"/>
    <n v="70.45"/>
    <n v="4"/>
    <n v="0"/>
    <n v="281.8"/>
    <n v="0"/>
    <n v="281.8"/>
    <x v="107"/>
    <n v="163.44"/>
  </r>
  <r>
    <s v="ORD-10101"/>
    <n v="44582"/>
    <x v="0"/>
    <x v="3"/>
    <x v="7"/>
    <x v="2"/>
    <x v="4"/>
    <x v="4"/>
    <x v="2"/>
    <x v="2"/>
    <x v="2"/>
    <x v="1"/>
    <n v="44.46"/>
    <n v="2"/>
    <n v="0.2"/>
    <n v="88.92"/>
    <n v="17.784000000000002"/>
    <n v="71.135999999999996"/>
    <x v="108"/>
    <n v="27.025999999999996"/>
  </r>
  <r>
    <s v="ORD-10902"/>
    <n v="44755"/>
    <x v="0"/>
    <x v="1"/>
    <x v="5"/>
    <x v="1"/>
    <x v="4"/>
    <x v="9"/>
    <x v="5"/>
    <x v="2"/>
    <x v="1"/>
    <x v="1"/>
    <n v="662.47"/>
    <n v="5"/>
    <n v="0.1"/>
    <n v="3312.3500000000004"/>
    <n v="331.23500000000007"/>
    <n v="2981.1150000000002"/>
    <x v="109"/>
    <n v="1132.8250000000003"/>
  </r>
  <r>
    <s v="ORD-10725"/>
    <n v="45094"/>
    <x v="0"/>
    <x v="3"/>
    <x v="7"/>
    <x v="3"/>
    <x v="3"/>
    <x v="19"/>
    <x v="1"/>
    <x v="2"/>
    <x v="1"/>
    <x v="1"/>
    <n v="29.24"/>
    <n v="12"/>
    <n v="0"/>
    <n v="350.88"/>
    <n v="0"/>
    <n v="350.88"/>
    <x v="110"/>
    <n v="217.54999999999998"/>
  </r>
  <r>
    <s v="ORD-10967"/>
    <n v="44630"/>
    <x v="0"/>
    <x v="4"/>
    <x v="13"/>
    <x v="1"/>
    <x v="0"/>
    <x v="20"/>
    <x v="1"/>
    <x v="4"/>
    <x v="0"/>
    <x v="0"/>
    <n v="26.99"/>
    <n v="29"/>
    <n v="0"/>
    <n v="782.70999999999992"/>
    <n v="0"/>
    <n v="782.70999999999992"/>
    <x v="111"/>
    <n v="352.21999999999991"/>
  </r>
  <r>
    <s v="ORD-10190"/>
    <n v="44732"/>
    <x v="0"/>
    <x v="0"/>
    <x v="9"/>
    <x v="2"/>
    <x v="3"/>
    <x v="14"/>
    <x v="11"/>
    <x v="2"/>
    <x v="4"/>
    <x v="1"/>
    <n v="7.64"/>
    <n v="19"/>
    <n v="0.15"/>
    <n v="145.16"/>
    <n v="21.773999999999997"/>
    <n v="123.386"/>
    <x v="112"/>
    <n v="76.495999999999995"/>
  </r>
  <r>
    <s v="ORD-10487"/>
    <n v="44813"/>
    <x v="0"/>
    <x v="3"/>
    <x v="7"/>
    <x v="1"/>
    <x v="3"/>
    <x v="7"/>
    <x v="5"/>
    <x v="1"/>
    <x v="0"/>
    <x v="1"/>
    <n v="11.93"/>
    <n v="22"/>
    <n v="0"/>
    <n v="262.45999999999998"/>
    <n v="0"/>
    <n v="262.45999999999998"/>
    <x v="113"/>
    <n v="162.72999999999996"/>
  </r>
  <r>
    <s v="ORD-10891"/>
    <n v="44933"/>
    <x v="0"/>
    <x v="2"/>
    <x v="3"/>
    <x v="0"/>
    <x v="0"/>
    <x v="16"/>
    <x v="10"/>
    <x v="2"/>
    <x v="1"/>
    <x v="1"/>
    <n v="10.69"/>
    <n v="18"/>
    <n v="0"/>
    <n v="192.42"/>
    <n v="0"/>
    <n v="192.42"/>
    <x v="114"/>
    <n v="86.589999999999989"/>
  </r>
  <r>
    <s v="ORD-10411"/>
    <n v="44988"/>
    <x v="0"/>
    <x v="2"/>
    <x v="6"/>
    <x v="3"/>
    <x v="2"/>
    <x v="17"/>
    <x v="9"/>
    <x v="0"/>
    <x v="2"/>
    <x v="1"/>
    <n v="96.27"/>
    <n v="4"/>
    <n v="0.2"/>
    <n v="385.08"/>
    <n v="77.016000000000005"/>
    <n v="308.06399999999996"/>
    <x v="115"/>
    <n v="178.67399999999998"/>
  </r>
  <r>
    <s v="ORD-10130"/>
    <n v="44858"/>
    <x v="0"/>
    <x v="1"/>
    <x v="2"/>
    <x v="1"/>
    <x v="3"/>
    <x v="7"/>
    <x v="1"/>
    <x v="1"/>
    <x v="0"/>
    <x v="1"/>
    <n v="14.95"/>
    <n v="18"/>
    <n v="0.1"/>
    <n v="269.09999999999997"/>
    <n v="26.909999999999997"/>
    <n v="242.18999999999997"/>
    <x v="116"/>
    <n v="150.15999999999997"/>
  </r>
  <r>
    <s v="ORD-10943"/>
    <n v="44606"/>
    <x v="0"/>
    <x v="0"/>
    <x v="9"/>
    <x v="1"/>
    <x v="1"/>
    <x v="12"/>
    <x v="4"/>
    <x v="3"/>
    <x v="4"/>
    <x v="1"/>
    <n v="164.27"/>
    <n v="2"/>
    <n v="0"/>
    <n v="328.54"/>
    <n v="0"/>
    <n v="328.54"/>
    <x v="117"/>
    <n v="170.84000000000003"/>
  </r>
  <r>
    <s v="ORD-10520"/>
    <n v="44574"/>
    <x v="0"/>
    <x v="2"/>
    <x v="4"/>
    <x v="0"/>
    <x v="4"/>
    <x v="22"/>
    <x v="6"/>
    <x v="3"/>
    <x v="1"/>
    <x v="3"/>
    <n v="347.25"/>
    <n v="8"/>
    <n v="0.15"/>
    <n v="2778"/>
    <n v="416.7"/>
    <n v="2361.3000000000002"/>
    <x v="118"/>
    <n v="897.29000000000019"/>
  </r>
  <r>
    <s v="ORD-10942"/>
    <n v="44602"/>
    <x v="0"/>
    <x v="0"/>
    <x v="0"/>
    <x v="1"/>
    <x v="3"/>
    <x v="6"/>
    <x v="0"/>
    <x v="4"/>
    <x v="2"/>
    <x v="1"/>
    <n v="334.24"/>
    <n v="1"/>
    <n v="0.05"/>
    <n v="334.24"/>
    <n v="16.712"/>
    <n v="317.52800000000002"/>
    <x v="119"/>
    <n v="196.86800000000002"/>
  </r>
  <r>
    <s v="ORD-10125"/>
    <n v="45220"/>
    <x v="0"/>
    <x v="0"/>
    <x v="0"/>
    <x v="3"/>
    <x v="2"/>
    <x v="5"/>
    <x v="6"/>
    <x v="2"/>
    <x v="3"/>
    <x v="1"/>
    <n v="85.86"/>
    <n v="5"/>
    <n v="0.2"/>
    <n v="429.3"/>
    <n v="85.860000000000014"/>
    <n v="343.44"/>
    <x v="120"/>
    <n v="199.2"/>
  </r>
  <r>
    <s v="ORD-11038"/>
    <n v="44715"/>
    <x v="0"/>
    <x v="3"/>
    <x v="7"/>
    <x v="3"/>
    <x v="0"/>
    <x v="20"/>
    <x v="6"/>
    <x v="0"/>
    <x v="1"/>
    <x v="1"/>
    <n v="27.42"/>
    <n v="12"/>
    <n v="0.15"/>
    <n v="329.04"/>
    <n v="49.356000000000002"/>
    <n v="279.68400000000003"/>
    <x v="121"/>
    <n v="125.86400000000003"/>
  </r>
  <r>
    <s v="ORD-10086"/>
    <n v="45084"/>
    <x v="0"/>
    <x v="1"/>
    <x v="5"/>
    <x v="2"/>
    <x v="0"/>
    <x v="0"/>
    <x v="2"/>
    <x v="2"/>
    <x v="1"/>
    <x v="1"/>
    <n v="13.63"/>
    <n v="7"/>
    <n v="0"/>
    <n v="95.410000000000011"/>
    <n v="0"/>
    <n v="95.410000000000011"/>
    <x v="122"/>
    <n v="42.930000000000014"/>
  </r>
  <r>
    <s v="ORD-10293"/>
    <n v="44809"/>
    <x v="0"/>
    <x v="0"/>
    <x v="9"/>
    <x v="2"/>
    <x v="1"/>
    <x v="1"/>
    <x v="6"/>
    <x v="3"/>
    <x v="0"/>
    <x v="1"/>
    <n v="341.22"/>
    <n v="2"/>
    <n v="0.15"/>
    <n v="682.44"/>
    <n v="102.366"/>
    <n v="580.07400000000007"/>
    <x v="123"/>
    <n v="301.64400000000006"/>
  </r>
  <r>
    <s v="ORD-10789"/>
    <n v="45175"/>
    <x v="0"/>
    <x v="0"/>
    <x v="9"/>
    <x v="0"/>
    <x v="1"/>
    <x v="1"/>
    <x v="11"/>
    <x v="2"/>
    <x v="1"/>
    <x v="1"/>
    <n v="433.68"/>
    <n v="8"/>
    <n v="0.1"/>
    <n v="3469.44"/>
    <n v="346.94400000000002"/>
    <n v="3122.4960000000001"/>
    <x v="124"/>
    <n v="1623.6960000000001"/>
  </r>
  <r>
    <s v="ORD-10219"/>
    <n v="45031"/>
    <x v="0"/>
    <x v="1"/>
    <x v="5"/>
    <x v="3"/>
    <x v="0"/>
    <x v="8"/>
    <x v="3"/>
    <x v="0"/>
    <x v="2"/>
    <x v="2"/>
    <n v="9.09"/>
    <n v="19"/>
    <n v="0.1"/>
    <n v="172.71"/>
    <n v="17.271000000000001"/>
    <n v="155.43900000000002"/>
    <x v="125"/>
    <n v="69.949000000000026"/>
  </r>
  <r>
    <s v="ORD-10950"/>
    <n v="44692"/>
    <x v="0"/>
    <x v="3"/>
    <x v="11"/>
    <x v="0"/>
    <x v="0"/>
    <x v="16"/>
    <x v="4"/>
    <x v="4"/>
    <x v="1"/>
    <x v="0"/>
    <n v="12.59"/>
    <n v="3"/>
    <n v="0.05"/>
    <n v="37.769999999999996"/>
    <n v="1.8884999999999998"/>
    <n v="35.881499999999996"/>
    <x v="126"/>
    <n v="16.151499999999995"/>
  </r>
  <r>
    <s v="ORD-10939"/>
    <n v="45163"/>
    <x v="0"/>
    <x v="2"/>
    <x v="3"/>
    <x v="1"/>
    <x v="2"/>
    <x v="10"/>
    <x v="9"/>
    <x v="1"/>
    <x v="4"/>
    <x v="1"/>
    <n v="52.3"/>
    <n v="2"/>
    <n v="0"/>
    <n v="104.6"/>
    <n v="0"/>
    <n v="104.6"/>
    <x v="127"/>
    <n v="60.669999999999995"/>
  </r>
  <r>
    <s v="ORD-10793"/>
    <n v="44724"/>
    <x v="0"/>
    <x v="3"/>
    <x v="11"/>
    <x v="0"/>
    <x v="2"/>
    <x v="17"/>
    <x v="6"/>
    <x v="0"/>
    <x v="3"/>
    <x v="1"/>
    <n v="127.4"/>
    <n v="2"/>
    <n v="0.15"/>
    <n v="254.8"/>
    <n v="38.22"/>
    <n v="216.58"/>
    <x v="128"/>
    <n v="125.62000000000002"/>
  </r>
  <r>
    <s v="ORD-10590"/>
    <n v="45180"/>
    <x v="0"/>
    <x v="4"/>
    <x v="13"/>
    <x v="2"/>
    <x v="3"/>
    <x v="14"/>
    <x v="3"/>
    <x v="1"/>
    <x v="3"/>
    <x v="2"/>
    <n v="7.85"/>
    <n v="3"/>
    <n v="0"/>
    <n v="23.549999999999997"/>
    <n v="0"/>
    <n v="23.549999999999997"/>
    <x v="129"/>
    <n v="14.599999999999998"/>
  </r>
  <r>
    <s v="ORD-10363"/>
    <n v="45283"/>
    <x v="0"/>
    <x v="2"/>
    <x v="4"/>
    <x v="2"/>
    <x v="2"/>
    <x v="4"/>
    <x v="2"/>
    <x v="2"/>
    <x v="0"/>
    <x v="1"/>
    <n v="55.78"/>
    <n v="8"/>
    <n v="0.1"/>
    <n v="446.24"/>
    <n v="44.624000000000002"/>
    <n v="401.61599999999999"/>
    <x v="130"/>
    <n v="232.93599999999998"/>
  </r>
  <r>
    <s v="ORD-10129"/>
    <n v="44622"/>
    <x v="0"/>
    <x v="1"/>
    <x v="5"/>
    <x v="3"/>
    <x v="0"/>
    <x v="0"/>
    <x v="3"/>
    <x v="1"/>
    <x v="1"/>
    <x v="2"/>
    <n v="18.350000000000001"/>
    <n v="2"/>
    <n v="0.2"/>
    <n v="36.700000000000003"/>
    <n v="7.3400000000000007"/>
    <n v="29.360000000000003"/>
    <x v="131"/>
    <n v="13.210000000000004"/>
  </r>
  <r>
    <s v="ORD-10947"/>
    <n v="44574"/>
    <x v="0"/>
    <x v="1"/>
    <x v="5"/>
    <x v="0"/>
    <x v="3"/>
    <x v="7"/>
    <x v="3"/>
    <x v="1"/>
    <x v="0"/>
    <x v="1"/>
    <n v="14.62"/>
    <n v="28"/>
    <n v="0.05"/>
    <n v="409.35999999999996"/>
    <n v="20.468"/>
    <n v="388.89199999999994"/>
    <x v="132"/>
    <n v="241.11199999999994"/>
  </r>
  <r>
    <s v="ORD-10539"/>
    <n v="44594"/>
    <x v="0"/>
    <x v="2"/>
    <x v="3"/>
    <x v="3"/>
    <x v="4"/>
    <x v="9"/>
    <x v="6"/>
    <x v="1"/>
    <x v="4"/>
    <x v="1"/>
    <n v="565.92999999999995"/>
    <n v="2"/>
    <n v="0.05"/>
    <n v="1131.8599999999999"/>
    <n v="56.592999999999996"/>
    <n v="1075.2669999999998"/>
    <x v="133"/>
    <n v="408.59699999999987"/>
  </r>
  <r>
    <s v="ORD-10106"/>
    <n v="44638"/>
    <x v="0"/>
    <x v="3"/>
    <x v="7"/>
    <x v="1"/>
    <x v="0"/>
    <x v="0"/>
    <x v="11"/>
    <x v="4"/>
    <x v="3"/>
    <x v="3"/>
    <n v="12.96"/>
    <n v="3"/>
    <n v="0"/>
    <n v="38.880000000000003"/>
    <n v="0"/>
    <n v="38.880000000000003"/>
    <x v="134"/>
    <n v="17.500000000000004"/>
  </r>
  <r>
    <s v="ORD-10378"/>
    <n v="44825"/>
    <x v="0"/>
    <x v="1"/>
    <x v="5"/>
    <x v="1"/>
    <x v="4"/>
    <x v="22"/>
    <x v="5"/>
    <x v="3"/>
    <x v="1"/>
    <x v="3"/>
    <n v="349.27"/>
    <n v="3"/>
    <n v="0"/>
    <n v="1047.81"/>
    <n v="0"/>
    <n v="1047.81"/>
    <x v="135"/>
    <n v="398.16999999999996"/>
  </r>
  <r>
    <s v="ORD-10810"/>
    <n v="44571"/>
    <x v="0"/>
    <x v="2"/>
    <x v="3"/>
    <x v="1"/>
    <x v="4"/>
    <x v="4"/>
    <x v="4"/>
    <x v="4"/>
    <x v="3"/>
    <x v="3"/>
    <n v="56.11"/>
    <n v="5"/>
    <n v="0.2"/>
    <n v="280.55"/>
    <n v="56.110000000000007"/>
    <n v="224.44"/>
    <x v="136"/>
    <n v="85.289999999999992"/>
  </r>
  <r>
    <s v="ORD-10035"/>
    <n v="44692"/>
    <x v="0"/>
    <x v="2"/>
    <x v="4"/>
    <x v="1"/>
    <x v="4"/>
    <x v="4"/>
    <x v="1"/>
    <x v="3"/>
    <x v="2"/>
    <x v="1"/>
    <n v="40.69"/>
    <n v="8"/>
    <n v="0"/>
    <n v="325.52"/>
    <n v="0"/>
    <n v="325.52"/>
    <x v="137"/>
    <n v="123.69999999999999"/>
  </r>
  <r>
    <s v="ORD-10899"/>
    <n v="45147"/>
    <x v="0"/>
    <x v="4"/>
    <x v="13"/>
    <x v="2"/>
    <x v="4"/>
    <x v="11"/>
    <x v="8"/>
    <x v="1"/>
    <x v="0"/>
    <x v="0"/>
    <n v="775.62"/>
    <n v="8"/>
    <n v="0.15"/>
    <n v="6204.96"/>
    <n v="930.74399999999991"/>
    <n v="5274.2160000000003"/>
    <x v="138"/>
    <n v="2004.1960000000004"/>
  </r>
  <r>
    <s v="ORD-10971"/>
    <n v="44975"/>
    <x v="0"/>
    <x v="2"/>
    <x v="3"/>
    <x v="1"/>
    <x v="0"/>
    <x v="3"/>
    <x v="1"/>
    <x v="3"/>
    <x v="4"/>
    <x v="1"/>
    <n v="16.5"/>
    <n v="28"/>
    <n v="0.05"/>
    <n v="462"/>
    <n v="23.1"/>
    <n v="438.9"/>
    <x v="139"/>
    <n v="197.49999999999997"/>
  </r>
  <r>
    <s v="ORD-10449"/>
    <n v="45059"/>
    <x v="0"/>
    <x v="1"/>
    <x v="2"/>
    <x v="0"/>
    <x v="4"/>
    <x v="13"/>
    <x v="1"/>
    <x v="2"/>
    <x v="2"/>
    <x v="2"/>
    <n v="447.47"/>
    <n v="2"/>
    <n v="0.05"/>
    <n v="894.94"/>
    <n v="44.747000000000007"/>
    <n v="850.1930000000001"/>
    <x v="140"/>
    <n v="323.07300000000009"/>
  </r>
  <r>
    <s v="ORD-10142"/>
    <n v="44869"/>
    <x v="0"/>
    <x v="0"/>
    <x v="9"/>
    <x v="1"/>
    <x v="0"/>
    <x v="8"/>
    <x v="8"/>
    <x v="4"/>
    <x v="4"/>
    <x v="0"/>
    <n v="8.69"/>
    <n v="12"/>
    <n v="0.15"/>
    <n v="104.28"/>
    <n v="15.641999999999999"/>
    <n v="88.638000000000005"/>
    <x v="141"/>
    <n v="39.888000000000005"/>
  </r>
  <r>
    <s v="ORD-10161"/>
    <n v="45228"/>
    <x v="0"/>
    <x v="2"/>
    <x v="6"/>
    <x v="3"/>
    <x v="3"/>
    <x v="23"/>
    <x v="1"/>
    <x v="4"/>
    <x v="4"/>
    <x v="1"/>
    <n v="22.24"/>
    <n v="11"/>
    <n v="0"/>
    <n v="244.64"/>
    <n v="0"/>
    <n v="244.64"/>
    <x v="142"/>
    <n v="151.68"/>
  </r>
  <r>
    <s v="ORD-10755"/>
    <n v="44700"/>
    <x v="0"/>
    <x v="4"/>
    <x v="10"/>
    <x v="1"/>
    <x v="2"/>
    <x v="10"/>
    <x v="2"/>
    <x v="0"/>
    <x v="1"/>
    <x v="1"/>
    <n v="48.23"/>
    <n v="1"/>
    <n v="0"/>
    <n v="48.23"/>
    <n v="0"/>
    <n v="48.23"/>
    <x v="143"/>
    <n v="27.969999999999995"/>
  </r>
  <r>
    <s v="ORD-10183"/>
    <n v="45255"/>
    <x v="0"/>
    <x v="4"/>
    <x v="13"/>
    <x v="0"/>
    <x v="0"/>
    <x v="8"/>
    <x v="11"/>
    <x v="3"/>
    <x v="1"/>
    <x v="2"/>
    <n v="11.39"/>
    <n v="21"/>
    <n v="0.15"/>
    <n v="239.19"/>
    <n v="35.878499999999995"/>
    <n v="203.3115"/>
    <x v="144"/>
    <n v="91.491500000000002"/>
  </r>
  <r>
    <s v="ORD-10275"/>
    <n v="44740"/>
    <x v="0"/>
    <x v="3"/>
    <x v="11"/>
    <x v="1"/>
    <x v="2"/>
    <x v="17"/>
    <x v="1"/>
    <x v="1"/>
    <x v="3"/>
    <x v="1"/>
    <n v="136.30000000000001"/>
    <n v="4"/>
    <n v="0.1"/>
    <n v="545.20000000000005"/>
    <n v="54.52000000000001"/>
    <n v="490.68000000000006"/>
    <x v="145"/>
    <n v="284.59000000000003"/>
  </r>
  <r>
    <s v="ORD-10865"/>
    <n v="44743"/>
    <x v="0"/>
    <x v="3"/>
    <x v="7"/>
    <x v="3"/>
    <x v="2"/>
    <x v="10"/>
    <x v="5"/>
    <x v="2"/>
    <x v="4"/>
    <x v="1"/>
    <n v="54.48"/>
    <n v="2"/>
    <n v="0"/>
    <n v="108.96"/>
    <n v="0"/>
    <n v="108.96"/>
    <x v="146"/>
    <n v="63.199999999999996"/>
  </r>
  <r>
    <s v="ORD-10069"/>
    <n v="45115"/>
    <x v="0"/>
    <x v="3"/>
    <x v="11"/>
    <x v="1"/>
    <x v="1"/>
    <x v="21"/>
    <x v="4"/>
    <x v="1"/>
    <x v="4"/>
    <x v="0"/>
    <n v="355.43"/>
    <n v="5"/>
    <n v="0"/>
    <n v="1777.15"/>
    <n v="0"/>
    <n v="1777.15"/>
    <x v="147"/>
    <n v="924.12000000000012"/>
  </r>
  <r>
    <s v="ORD-10523"/>
    <n v="45040"/>
    <x v="0"/>
    <x v="2"/>
    <x v="4"/>
    <x v="1"/>
    <x v="3"/>
    <x v="7"/>
    <x v="1"/>
    <x v="2"/>
    <x v="3"/>
    <x v="1"/>
    <n v="11.78"/>
    <n v="4"/>
    <n v="0.05"/>
    <n v="47.12"/>
    <n v="2.3559999999999999"/>
    <n v="44.763999999999996"/>
    <x v="148"/>
    <n v="27.753999999999994"/>
  </r>
  <r>
    <s v="ORD-10122"/>
    <n v="44579"/>
    <x v="0"/>
    <x v="0"/>
    <x v="12"/>
    <x v="1"/>
    <x v="4"/>
    <x v="4"/>
    <x v="1"/>
    <x v="2"/>
    <x v="2"/>
    <x v="0"/>
    <n v="43.03"/>
    <n v="4"/>
    <n v="0.15"/>
    <n v="172.12"/>
    <n v="25.818000000000001"/>
    <n v="146.30199999999999"/>
    <x v="149"/>
    <n v="55.591999999999999"/>
  </r>
  <r>
    <s v="ORD-10908"/>
    <n v="44795"/>
    <x v="0"/>
    <x v="4"/>
    <x v="14"/>
    <x v="2"/>
    <x v="0"/>
    <x v="16"/>
    <x v="9"/>
    <x v="0"/>
    <x v="1"/>
    <x v="2"/>
    <n v="11.9"/>
    <n v="4"/>
    <n v="0"/>
    <n v="47.6"/>
    <n v="0"/>
    <n v="47.6"/>
    <x v="150"/>
    <n v="21.42"/>
  </r>
  <r>
    <s v="ORD-10154"/>
    <n v="44774"/>
    <x v="0"/>
    <x v="2"/>
    <x v="6"/>
    <x v="1"/>
    <x v="2"/>
    <x v="10"/>
    <x v="7"/>
    <x v="4"/>
    <x v="3"/>
    <x v="1"/>
    <n v="61.64"/>
    <n v="6"/>
    <n v="0.05"/>
    <n v="369.84000000000003"/>
    <n v="18.492000000000001"/>
    <n v="351.34800000000001"/>
    <x v="151"/>
    <n v="203.77800000000002"/>
  </r>
  <r>
    <s v="ORD-10313"/>
    <n v="45244"/>
    <x v="0"/>
    <x v="4"/>
    <x v="13"/>
    <x v="2"/>
    <x v="1"/>
    <x v="21"/>
    <x v="2"/>
    <x v="1"/>
    <x v="1"/>
    <x v="1"/>
    <n v="292.41000000000003"/>
    <n v="4"/>
    <n v="0"/>
    <n v="1169.6400000000001"/>
    <n v="0"/>
    <n v="1169.6400000000001"/>
    <x v="152"/>
    <n v="608.21000000000015"/>
  </r>
  <r>
    <s v="ORD-10552"/>
    <n v="45256"/>
    <x v="0"/>
    <x v="4"/>
    <x v="14"/>
    <x v="2"/>
    <x v="1"/>
    <x v="12"/>
    <x v="4"/>
    <x v="0"/>
    <x v="2"/>
    <x v="1"/>
    <n v="153.08000000000001"/>
    <n v="8"/>
    <n v="0.05"/>
    <n v="1224.6400000000001"/>
    <n v="61.232000000000006"/>
    <n v="1163.4080000000001"/>
    <x v="153"/>
    <n v="604.96800000000007"/>
  </r>
  <r>
    <s v="ORD-10630"/>
    <n v="44995"/>
    <x v="0"/>
    <x v="3"/>
    <x v="11"/>
    <x v="3"/>
    <x v="3"/>
    <x v="7"/>
    <x v="3"/>
    <x v="2"/>
    <x v="1"/>
    <x v="2"/>
    <n v="11.5"/>
    <n v="3"/>
    <n v="0.1"/>
    <n v="34.5"/>
    <n v="3.45"/>
    <n v="31.05"/>
    <x v="154"/>
    <n v="19.25"/>
  </r>
  <r>
    <s v="ORD-10185"/>
    <n v="44853"/>
    <x v="0"/>
    <x v="1"/>
    <x v="5"/>
    <x v="1"/>
    <x v="3"/>
    <x v="19"/>
    <x v="3"/>
    <x v="3"/>
    <x v="3"/>
    <x v="1"/>
    <n v="24.21"/>
    <n v="2"/>
    <n v="0.2"/>
    <n v="48.42"/>
    <n v="9.6840000000000011"/>
    <n v="38.736000000000004"/>
    <x v="155"/>
    <n v="24.016000000000005"/>
  </r>
  <r>
    <s v="ORD-10151"/>
    <n v="44745"/>
    <x v="0"/>
    <x v="1"/>
    <x v="2"/>
    <x v="0"/>
    <x v="0"/>
    <x v="0"/>
    <x v="6"/>
    <x v="4"/>
    <x v="3"/>
    <x v="0"/>
    <n v="17.64"/>
    <n v="9"/>
    <n v="0.2"/>
    <n v="158.76"/>
    <n v="31.751999999999999"/>
    <n v="127.008"/>
    <x v="156"/>
    <n v="57.147999999999996"/>
  </r>
  <r>
    <s v="ORD-10527"/>
    <n v="45029"/>
    <x v="0"/>
    <x v="4"/>
    <x v="14"/>
    <x v="2"/>
    <x v="3"/>
    <x v="19"/>
    <x v="3"/>
    <x v="3"/>
    <x v="4"/>
    <x v="3"/>
    <n v="22.43"/>
    <n v="29"/>
    <n v="0"/>
    <n v="650.47"/>
    <n v="0"/>
    <n v="650.47"/>
    <x v="157"/>
    <n v="403.29"/>
  </r>
  <r>
    <s v="ORD-10735"/>
    <n v="44588"/>
    <x v="0"/>
    <x v="0"/>
    <x v="9"/>
    <x v="1"/>
    <x v="3"/>
    <x v="7"/>
    <x v="9"/>
    <x v="0"/>
    <x v="3"/>
    <x v="1"/>
    <n v="11.62"/>
    <n v="4"/>
    <n v="0.15"/>
    <n v="46.48"/>
    <n v="6.9719999999999995"/>
    <n v="39.507999999999996"/>
    <x v="158"/>
    <n v="24.497999999999998"/>
  </r>
  <r>
    <s v="ORD-10979"/>
    <n v="45122"/>
    <x v="0"/>
    <x v="2"/>
    <x v="3"/>
    <x v="1"/>
    <x v="1"/>
    <x v="2"/>
    <x v="0"/>
    <x v="4"/>
    <x v="2"/>
    <x v="1"/>
    <n v="256.26"/>
    <n v="4"/>
    <n v="0.05"/>
    <n v="1025.04"/>
    <n v="51.252000000000002"/>
    <n v="973.78800000000001"/>
    <x v="159"/>
    <n v="506.36799999999999"/>
  </r>
  <r>
    <s v="ORD-10382"/>
    <n v="44662"/>
    <x v="0"/>
    <x v="0"/>
    <x v="0"/>
    <x v="0"/>
    <x v="0"/>
    <x v="16"/>
    <x v="10"/>
    <x v="4"/>
    <x v="3"/>
    <x v="1"/>
    <n v="13.45"/>
    <n v="6"/>
    <n v="0"/>
    <n v="80.699999999999989"/>
    <n v="0"/>
    <n v="80.699999999999989"/>
    <x v="160"/>
    <n v="36.309999999999988"/>
  </r>
  <r>
    <s v="ORD-10668"/>
    <n v="44916"/>
    <x v="0"/>
    <x v="3"/>
    <x v="8"/>
    <x v="0"/>
    <x v="0"/>
    <x v="3"/>
    <x v="10"/>
    <x v="3"/>
    <x v="2"/>
    <x v="2"/>
    <n v="20.309999999999999"/>
    <n v="15"/>
    <n v="0.05"/>
    <n v="304.64999999999998"/>
    <n v="15.2325"/>
    <n v="289.41749999999996"/>
    <x v="161"/>
    <n v="130.23749999999995"/>
  </r>
  <r>
    <s v="ORD-10045"/>
    <n v="44842"/>
    <x v="0"/>
    <x v="1"/>
    <x v="2"/>
    <x v="2"/>
    <x v="0"/>
    <x v="3"/>
    <x v="8"/>
    <x v="4"/>
    <x v="4"/>
    <x v="1"/>
    <n v="19.43"/>
    <n v="16"/>
    <n v="0.05"/>
    <n v="310.88"/>
    <n v="15.544"/>
    <n v="295.33600000000001"/>
    <x v="162"/>
    <n v="132.89600000000002"/>
  </r>
  <r>
    <s v="ORD-10308"/>
    <n v="44787"/>
    <x v="0"/>
    <x v="0"/>
    <x v="9"/>
    <x v="0"/>
    <x v="2"/>
    <x v="5"/>
    <x v="3"/>
    <x v="3"/>
    <x v="0"/>
    <x v="1"/>
    <n v="71.06"/>
    <n v="2"/>
    <n v="0"/>
    <n v="142.12"/>
    <n v="0"/>
    <n v="142.12"/>
    <x v="163"/>
    <n v="82.43"/>
  </r>
  <r>
    <s v="ORD-10991"/>
    <n v="45046"/>
    <x v="0"/>
    <x v="1"/>
    <x v="1"/>
    <x v="2"/>
    <x v="1"/>
    <x v="21"/>
    <x v="6"/>
    <x v="2"/>
    <x v="2"/>
    <x v="1"/>
    <n v="344.07"/>
    <n v="5"/>
    <n v="0.05"/>
    <n v="1720.35"/>
    <n v="86.017499999999998"/>
    <n v="1634.3325"/>
    <x v="164"/>
    <n v="849.85249999999996"/>
  </r>
  <r>
    <s v="ORD-10202"/>
    <n v="45018"/>
    <x v="0"/>
    <x v="4"/>
    <x v="13"/>
    <x v="1"/>
    <x v="0"/>
    <x v="8"/>
    <x v="1"/>
    <x v="4"/>
    <x v="0"/>
    <x v="2"/>
    <n v="12.03"/>
    <n v="16"/>
    <n v="0"/>
    <n v="192.48"/>
    <n v="0"/>
    <n v="192.48"/>
    <x v="165"/>
    <n v="86.61999999999999"/>
  </r>
  <r>
    <s v="ORD-10072"/>
    <n v="44710"/>
    <x v="0"/>
    <x v="4"/>
    <x v="10"/>
    <x v="0"/>
    <x v="3"/>
    <x v="19"/>
    <x v="0"/>
    <x v="1"/>
    <x v="1"/>
    <x v="1"/>
    <n v="29.15"/>
    <n v="8"/>
    <n v="0.1"/>
    <n v="233.2"/>
    <n v="23.32"/>
    <n v="209.88"/>
    <x v="166"/>
    <n v="130.13"/>
  </r>
  <r>
    <s v="ORD-10362"/>
    <n v="44812"/>
    <x v="0"/>
    <x v="4"/>
    <x v="13"/>
    <x v="3"/>
    <x v="3"/>
    <x v="7"/>
    <x v="2"/>
    <x v="3"/>
    <x v="4"/>
    <x v="1"/>
    <n v="10.34"/>
    <n v="29"/>
    <n v="0.15"/>
    <n v="299.86"/>
    <n v="44.978999999999999"/>
    <n v="254.88100000000003"/>
    <x v="167"/>
    <n v="158.03100000000003"/>
  </r>
  <r>
    <s v="ORD-10627"/>
    <n v="44709"/>
    <x v="0"/>
    <x v="2"/>
    <x v="3"/>
    <x v="3"/>
    <x v="1"/>
    <x v="1"/>
    <x v="6"/>
    <x v="1"/>
    <x v="1"/>
    <x v="1"/>
    <n v="380.37"/>
    <n v="1"/>
    <n v="0.15"/>
    <n v="380.37"/>
    <n v="57.055500000000002"/>
    <n v="323.31450000000001"/>
    <x v="168"/>
    <n v="168.12450000000001"/>
  </r>
  <r>
    <s v="ORD-10038"/>
    <n v="44729"/>
    <x v="0"/>
    <x v="0"/>
    <x v="9"/>
    <x v="3"/>
    <x v="0"/>
    <x v="20"/>
    <x v="7"/>
    <x v="3"/>
    <x v="4"/>
    <x v="2"/>
    <n v="19.37"/>
    <n v="23"/>
    <n v="0.2"/>
    <n v="445.51000000000005"/>
    <n v="89.102000000000018"/>
    <n v="356.40800000000002"/>
    <x v="169"/>
    <n v="160.37800000000001"/>
  </r>
  <r>
    <s v="ORD-10210"/>
    <n v="44733"/>
    <x v="0"/>
    <x v="1"/>
    <x v="5"/>
    <x v="2"/>
    <x v="3"/>
    <x v="6"/>
    <x v="11"/>
    <x v="2"/>
    <x v="1"/>
    <x v="1"/>
    <n v="316.86"/>
    <n v="26"/>
    <n v="0"/>
    <n v="8238.36"/>
    <n v="0"/>
    <n v="8238.36"/>
    <x v="170"/>
    <n v="5107.7800000000007"/>
  </r>
  <r>
    <s v="ORD-10762"/>
    <n v="44757"/>
    <x v="0"/>
    <x v="3"/>
    <x v="7"/>
    <x v="3"/>
    <x v="1"/>
    <x v="2"/>
    <x v="6"/>
    <x v="0"/>
    <x v="0"/>
    <x v="0"/>
    <n v="187.49"/>
    <n v="5"/>
    <n v="0"/>
    <n v="937.45"/>
    <n v="0"/>
    <n v="937.45"/>
    <x v="171"/>
    <n v="487.47"/>
  </r>
  <r>
    <s v="ORD-10757"/>
    <n v="44875"/>
    <x v="0"/>
    <x v="0"/>
    <x v="0"/>
    <x v="3"/>
    <x v="2"/>
    <x v="17"/>
    <x v="3"/>
    <x v="3"/>
    <x v="1"/>
    <x v="1"/>
    <n v="98.03"/>
    <n v="4"/>
    <n v="0"/>
    <n v="392.12"/>
    <n v="0"/>
    <n v="392.12"/>
    <x v="172"/>
    <n v="227.43"/>
  </r>
  <r>
    <s v="ORD-10011"/>
    <n v="44634"/>
    <x v="0"/>
    <x v="1"/>
    <x v="2"/>
    <x v="0"/>
    <x v="4"/>
    <x v="11"/>
    <x v="2"/>
    <x v="1"/>
    <x v="3"/>
    <x v="1"/>
    <n v="949.95"/>
    <n v="4"/>
    <n v="0.1"/>
    <n v="3799.8"/>
    <n v="379.98"/>
    <n v="3419.82"/>
    <x v="173"/>
    <n v="1299.5300000000002"/>
  </r>
  <r>
    <s v="ORD-10423"/>
    <n v="45205"/>
    <x v="0"/>
    <x v="3"/>
    <x v="11"/>
    <x v="3"/>
    <x v="4"/>
    <x v="13"/>
    <x v="3"/>
    <x v="3"/>
    <x v="2"/>
    <x v="1"/>
    <n v="433.06"/>
    <n v="3"/>
    <n v="0"/>
    <n v="1299.18"/>
    <n v="0"/>
    <n v="1299.18"/>
    <x v="174"/>
    <n v="493.69000000000005"/>
  </r>
  <r>
    <s v="ORD-10263"/>
    <n v="44901"/>
    <x v="0"/>
    <x v="1"/>
    <x v="2"/>
    <x v="3"/>
    <x v="4"/>
    <x v="11"/>
    <x v="5"/>
    <x v="2"/>
    <x v="3"/>
    <x v="1"/>
    <n v="1032.24"/>
    <n v="7"/>
    <n v="0.05"/>
    <n v="7225.68"/>
    <n v="361.28400000000005"/>
    <n v="6864.3960000000006"/>
    <x v="175"/>
    <n v="2608.4660000000003"/>
  </r>
  <r>
    <s v="ORD-10109"/>
    <n v="45017"/>
    <x v="0"/>
    <x v="1"/>
    <x v="5"/>
    <x v="0"/>
    <x v="3"/>
    <x v="23"/>
    <x v="8"/>
    <x v="1"/>
    <x v="3"/>
    <x v="0"/>
    <n v="21.72"/>
    <n v="28"/>
    <n v="0"/>
    <n v="608.16"/>
    <n v="0"/>
    <n v="608.16"/>
    <x v="176"/>
    <n v="377.05999999999995"/>
  </r>
  <r>
    <s v="ORD-10227"/>
    <n v="44871"/>
    <x v="0"/>
    <x v="2"/>
    <x v="4"/>
    <x v="0"/>
    <x v="2"/>
    <x v="4"/>
    <x v="0"/>
    <x v="1"/>
    <x v="3"/>
    <x v="3"/>
    <n v="48.36"/>
    <n v="5"/>
    <n v="0"/>
    <n v="241.8"/>
    <n v="0"/>
    <n v="241.8"/>
    <x v="177"/>
    <n v="140.24"/>
  </r>
  <r>
    <s v="ORD-10024"/>
    <n v="44759"/>
    <x v="0"/>
    <x v="3"/>
    <x v="7"/>
    <x v="0"/>
    <x v="3"/>
    <x v="14"/>
    <x v="7"/>
    <x v="2"/>
    <x v="3"/>
    <x v="2"/>
    <n v="9.81"/>
    <n v="4"/>
    <n v="0"/>
    <n v="39.24"/>
    <n v="0"/>
    <n v="39.24"/>
    <x v="178"/>
    <n v="24.330000000000002"/>
  </r>
  <r>
    <s v="ORD-10255"/>
    <n v="44770"/>
    <x v="0"/>
    <x v="2"/>
    <x v="6"/>
    <x v="1"/>
    <x v="3"/>
    <x v="6"/>
    <x v="0"/>
    <x v="3"/>
    <x v="3"/>
    <x v="1"/>
    <n v="302.41000000000003"/>
    <n v="26"/>
    <n v="0.2"/>
    <n v="7862.6600000000008"/>
    <n v="1572.5320000000002"/>
    <n v="6290.1280000000006"/>
    <x v="179"/>
    <n v="3899.8780000000006"/>
  </r>
  <r>
    <s v="ORD-10894"/>
    <n v="44940"/>
    <x v="0"/>
    <x v="1"/>
    <x v="2"/>
    <x v="3"/>
    <x v="1"/>
    <x v="18"/>
    <x v="7"/>
    <x v="0"/>
    <x v="1"/>
    <x v="1"/>
    <n v="555.58000000000004"/>
    <n v="6"/>
    <n v="0"/>
    <n v="3333.4800000000005"/>
    <n v="0"/>
    <n v="3333.4800000000005"/>
    <x v="180"/>
    <n v="1733.4100000000005"/>
  </r>
  <r>
    <s v="ORD-10107"/>
    <n v="45181"/>
    <x v="0"/>
    <x v="4"/>
    <x v="10"/>
    <x v="3"/>
    <x v="2"/>
    <x v="17"/>
    <x v="2"/>
    <x v="0"/>
    <x v="2"/>
    <x v="0"/>
    <n v="116.8"/>
    <n v="7"/>
    <n v="0"/>
    <n v="817.6"/>
    <n v="0"/>
    <n v="817.6"/>
    <x v="181"/>
    <n v="474.21000000000004"/>
  </r>
  <r>
    <s v="ORD-10880"/>
    <n v="44911"/>
    <x v="0"/>
    <x v="0"/>
    <x v="9"/>
    <x v="3"/>
    <x v="3"/>
    <x v="6"/>
    <x v="6"/>
    <x v="1"/>
    <x v="4"/>
    <x v="2"/>
    <n v="393.19"/>
    <n v="17"/>
    <n v="0"/>
    <n v="6684.23"/>
    <n v="0"/>
    <n v="6684.23"/>
    <x v="182"/>
    <n v="4144.2199999999993"/>
  </r>
  <r>
    <s v="ORD-10843"/>
    <n v="44961"/>
    <x v="0"/>
    <x v="2"/>
    <x v="3"/>
    <x v="2"/>
    <x v="2"/>
    <x v="15"/>
    <x v="2"/>
    <x v="4"/>
    <x v="0"/>
    <x v="1"/>
    <n v="152.09"/>
    <n v="5"/>
    <n v="0"/>
    <n v="760.45"/>
    <n v="0"/>
    <n v="760.45"/>
    <x v="183"/>
    <n v="441.06000000000006"/>
  </r>
  <r>
    <s v="ORD-10618"/>
    <n v="44664"/>
    <x v="0"/>
    <x v="3"/>
    <x v="7"/>
    <x v="2"/>
    <x v="4"/>
    <x v="11"/>
    <x v="11"/>
    <x v="1"/>
    <x v="1"/>
    <x v="1"/>
    <n v="813.5"/>
    <n v="1"/>
    <n v="0.2"/>
    <n v="813.5"/>
    <n v="162.70000000000002"/>
    <n v="650.79999999999995"/>
    <x v="184"/>
    <n v="247.29999999999995"/>
  </r>
  <r>
    <s v="ORD-10471"/>
    <n v="45263"/>
    <x v="0"/>
    <x v="2"/>
    <x v="6"/>
    <x v="1"/>
    <x v="3"/>
    <x v="14"/>
    <x v="2"/>
    <x v="3"/>
    <x v="1"/>
    <x v="2"/>
    <n v="9.6300000000000008"/>
    <n v="16"/>
    <n v="0"/>
    <n v="154.08000000000001"/>
    <n v="0"/>
    <n v="154.08000000000001"/>
    <x v="185"/>
    <n v="95.530000000000015"/>
  </r>
  <r>
    <s v="ORD-10922"/>
    <n v="44945"/>
    <x v="0"/>
    <x v="2"/>
    <x v="3"/>
    <x v="0"/>
    <x v="1"/>
    <x v="1"/>
    <x v="1"/>
    <x v="2"/>
    <x v="0"/>
    <x v="1"/>
    <n v="459.49"/>
    <n v="7"/>
    <n v="0"/>
    <n v="3216.4300000000003"/>
    <n v="0"/>
    <n v="3216.4300000000003"/>
    <x v="186"/>
    <n v="1672.5400000000002"/>
  </r>
  <r>
    <s v="ORD-10670"/>
    <n v="44567"/>
    <x v="0"/>
    <x v="1"/>
    <x v="1"/>
    <x v="0"/>
    <x v="4"/>
    <x v="11"/>
    <x v="11"/>
    <x v="2"/>
    <x v="2"/>
    <x v="1"/>
    <n v="956.39"/>
    <n v="7"/>
    <n v="0"/>
    <n v="6694.73"/>
    <n v="0"/>
    <n v="6694.73"/>
    <x v="187"/>
    <n v="2544"/>
  </r>
  <r>
    <s v="ORD-10533"/>
    <n v="44845"/>
    <x v="0"/>
    <x v="4"/>
    <x v="13"/>
    <x v="0"/>
    <x v="4"/>
    <x v="11"/>
    <x v="2"/>
    <x v="1"/>
    <x v="3"/>
    <x v="1"/>
    <n v="789.36"/>
    <n v="6"/>
    <n v="0"/>
    <n v="4736.16"/>
    <n v="0"/>
    <n v="4736.16"/>
    <x v="188"/>
    <n v="1799.7399999999998"/>
  </r>
  <r>
    <s v="ORD-10661"/>
    <n v="45126"/>
    <x v="0"/>
    <x v="0"/>
    <x v="12"/>
    <x v="3"/>
    <x v="2"/>
    <x v="15"/>
    <x v="3"/>
    <x v="0"/>
    <x v="1"/>
    <x v="1"/>
    <n v="148.66"/>
    <n v="5"/>
    <n v="0.05"/>
    <n v="743.3"/>
    <n v="37.164999999999999"/>
    <n v="706.13499999999999"/>
    <x v="189"/>
    <n v="409.55500000000001"/>
  </r>
  <r>
    <s v="ORD-10849"/>
    <n v="45068"/>
    <x v="0"/>
    <x v="4"/>
    <x v="10"/>
    <x v="1"/>
    <x v="2"/>
    <x v="17"/>
    <x v="0"/>
    <x v="0"/>
    <x v="3"/>
    <x v="0"/>
    <n v="120.19"/>
    <n v="7"/>
    <n v="0"/>
    <n v="841.32999999999993"/>
    <n v="0"/>
    <n v="841.32999999999993"/>
    <x v="190"/>
    <n v="487.96999999999991"/>
  </r>
  <r>
    <s v="ORD-10299"/>
    <n v="44623"/>
    <x v="0"/>
    <x v="4"/>
    <x v="14"/>
    <x v="0"/>
    <x v="2"/>
    <x v="10"/>
    <x v="10"/>
    <x v="2"/>
    <x v="0"/>
    <x v="1"/>
    <s v="N/A"/>
    <n v="5"/>
    <n v="0"/>
    <n v="0"/>
    <n v="0"/>
    <n v="0"/>
    <x v="9"/>
    <e v="#VALUE!"/>
  </r>
  <r>
    <s v="ORD-10981"/>
    <n v="44847"/>
    <x v="0"/>
    <x v="2"/>
    <x v="6"/>
    <x v="0"/>
    <x v="1"/>
    <x v="2"/>
    <x v="9"/>
    <x v="0"/>
    <x v="0"/>
    <x v="1"/>
    <n v="230.9"/>
    <n v="7"/>
    <n v="0"/>
    <n v="1616.3"/>
    <n v="0"/>
    <n v="1616.3"/>
    <x v="191"/>
    <n v="840.4799999999999"/>
  </r>
  <r>
    <s v="ORD-10116"/>
    <n v="44915"/>
    <x v="0"/>
    <x v="3"/>
    <x v="8"/>
    <x v="1"/>
    <x v="3"/>
    <x v="7"/>
    <x v="3"/>
    <x v="1"/>
    <x v="0"/>
    <x v="1"/>
    <n v="10.79"/>
    <n v="15"/>
    <n v="0"/>
    <n v="161.85"/>
    <n v="0"/>
    <n v="161.85"/>
    <x v="192"/>
    <n v="100.35"/>
  </r>
  <r>
    <s v="ORD-10492"/>
    <n v="44873"/>
    <x v="0"/>
    <x v="3"/>
    <x v="11"/>
    <x v="2"/>
    <x v="4"/>
    <x v="11"/>
    <x v="2"/>
    <x v="2"/>
    <x v="3"/>
    <x v="1"/>
    <n v="738.73"/>
    <n v="2"/>
    <n v="0.05"/>
    <n v="1477.46"/>
    <n v="73.873000000000005"/>
    <n v="1403.587"/>
    <x v="193"/>
    <n v="533.35699999999997"/>
  </r>
  <r>
    <s v="ORD-10776"/>
    <n v="44767"/>
    <x v="0"/>
    <x v="4"/>
    <x v="14"/>
    <x v="2"/>
    <x v="3"/>
    <x v="14"/>
    <x v="5"/>
    <x v="4"/>
    <x v="1"/>
    <x v="2"/>
    <n v="9.1199999999999992"/>
    <n v="5"/>
    <n v="0.15"/>
    <n v="45.599999999999994"/>
    <n v="6.839999999999999"/>
    <n v="38.76"/>
    <x v="194"/>
    <n v="24.029999999999998"/>
  </r>
  <r>
    <s v="ORD-10435"/>
    <n v="44847"/>
    <x v="0"/>
    <x v="2"/>
    <x v="4"/>
    <x v="1"/>
    <x v="3"/>
    <x v="6"/>
    <x v="2"/>
    <x v="0"/>
    <x v="3"/>
    <x v="2"/>
    <n v="337.46"/>
    <n v="5"/>
    <n v="0.2"/>
    <n v="1687.3"/>
    <n v="337.46000000000004"/>
    <n v="1349.84"/>
    <x v="195"/>
    <n v="836.89999999999986"/>
  </r>
  <r>
    <s v="ORD-10675"/>
    <n v="44591"/>
    <x v="0"/>
    <x v="3"/>
    <x v="11"/>
    <x v="2"/>
    <x v="0"/>
    <x v="16"/>
    <x v="2"/>
    <x v="2"/>
    <x v="2"/>
    <x v="0"/>
    <n v="11.9"/>
    <n v="7"/>
    <n v="0"/>
    <n v="83.3"/>
    <n v="0"/>
    <n v="83.3"/>
    <x v="196"/>
    <n v="37.479999999999997"/>
  </r>
  <r>
    <s v="ORD-10298"/>
    <n v="44715"/>
    <x v="0"/>
    <x v="3"/>
    <x v="8"/>
    <x v="0"/>
    <x v="1"/>
    <x v="21"/>
    <x v="10"/>
    <x v="4"/>
    <x v="3"/>
    <x v="0"/>
    <n v="337.6"/>
    <n v="5"/>
    <n v="0"/>
    <n v="1688"/>
    <n v="0"/>
    <n v="1688"/>
    <x v="197"/>
    <n v="877.76"/>
  </r>
  <r>
    <s v="ORD-10954"/>
    <n v="44996"/>
    <x v="0"/>
    <x v="4"/>
    <x v="10"/>
    <x v="0"/>
    <x v="1"/>
    <x v="12"/>
    <x v="6"/>
    <x v="2"/>
    <x v="3"/>
    <x v="0"/>
    <n v="130.44999999999999"/>
    <n v="8"/>
    <n v="0.1"/>
    <n v="1043.5999999999999"/>
    <n v="104.36"/>
    <n v="939.2399999999999"/>
    <x v="198"/>
    <n v="488.39999999999992"/>
  </r>
  <r>
    <s v="ORD-10572"/>
    <n v="45115"/>
    <x v="0"/>
    <x v="4"/>
    <x v="13"/>
    <x v="2"/>
    <x v="1"/>
    <x v="1"/>
    <x v="4"/>
    <x v="1"/>
    <x v="2"/>
    <x v="2"/>
    <n v="347.36"/>
    <n v="6"/>
    <n v="0.05"/>
    <n v="2084.16"/>
    <n v="104.208"/>
    <n v="1979.9519999999998"/>
    <x v="199"/>
    <n v="1029.5719999999997"/>
  </r>
  <r>
    <s v="ORD-10022"/>
    <n v="44928"/>
    <x v="0"/>
    <x v="4"/>
    <x v="10"/>
    <x v="3"/>
    <x v="1"/>
    <x v="2"/>
    <x v="2"/>
    <x v="3"/>
    <x v="4"/>
    <x v="0"/>
    <n v="268.47000000000003"/>
    <n v="4"/>
    <n v="0.2"/>
    <n v="1073.8800000000001"/>
    <n v="214.77600000000004"/>
    <n v="859.10400000000004"/>
    <x v="200"/>
    <n v="446.73400000000004"/>
  </r>
  <r>
    <s v="ORD-10009"/>
    <n v="44807"/>
    <x v="0"/>
    <x v="1"/>
    <x v="2"/>
    <x v="3"/>
    <x v="0"/>
    <x v="20"/>
    <x v="0"/>
    <x v="0"/>
    <x v="2"/>
    <x v="0"/>
    <n v="19.829999999999998"/>
    <n v="16"/>
    <n v="0.1"/>
    <n v="317.27999999999997"/>
    <n v="31.727999999999998"/>
    <n v="285.55199999999996"/>
    <x v="201"/>
    <n v="128.50199999999995"/>
  </r>
  <r>
    <s v="ORD-10443"/>
    <n v="44909"/>
    <x v="0"/>
    <x v="4"/>
    <x v="10"/>
    <x v="2"/>
    <x v="3"/>
    <x v="23"/>
    <x v="9"/>
    <x v="4"/>
    <x v="4"/>
    <x v="3"/>
    <n v="21.35"/>
    <n v="18"/>
    <n v="0"/>
    <n v="384.3"/>
    <n v="0"/>
    <n v="384.3"/>
    <x v="202"/>
    <n v="238.27"/>
  </r>
  <r>
    <s v="ORD-10927"/>
    <n v="44597"/>
    <x v="0"/>
    <x v="1"/>
    <x v="1"/>
    <x v="2"/>
    <x v="1"/>
    <x v="12"/>
    <x v="10"/>
    <x v="4"/>
    <x v="2"/>
    <x v="3"/>
    <s v="N/A"/>
    <n v="8"/>
    <n v="0"/>
    <n v="0"/>
    <n v="0"/>
    <n v="0"/>
    <x v="9"/>
    <e v="#VALUE!"/>
  </r>
  <r>
    <s v="ORD-10838"/>
    <n v="44754"/>
    <x v="0"/>
    <x v="2"/>
    <x v="3"/>
    <x v="1"/>
    <x v="2"/>
    <x v="5"/>
    <x v="10"/>
    <x v="3"/>
    <x v="0"/>
    <x v="0"/>
    <n v="62.8"/>
    <n v="5"/>
    <n v="0.15"/>
    <n v="314"/>
    <n v="47.1"/>
    <n v="266.89999999999998"/>
    <x v="203"/>
    <n v="154.79999999999998"/>
  </r>
  <r>
    <s v="ORD-10845"/>
    <n v="44973"/>
    <x v="0"/>
    <x v="1"/>
    <x v="5"/>
    <x v="0"/>
    <x v="0"/>
    <x v="0"/>
    <x v="6"/>
    <x v="0"/>
    <x v="1"/>
    <x v="3"/>
    <n v="17.309999999999999"/>
    <n v="1"/>
    <n v="0.15"/>
    <n v="17.309999999999999"/>
    <n v="2.5964999999999998"/>
    <n v="14.7135"/>
    <x v="204"/>
    <n v="6.6234999999999999"/>
  </r>
  <r>
    <s v="ORD-10271"/>
    <n v="45113"/>
    <x v="0"/>
    <x v="4"/>
    <x v="14"/>
    <x v="1"/>
    <x v="4"/>
    <x v="11"/>
    <x v="11"/>
    <x v="3"/>
    <x v="2"/>
    <x v="0"/>
    <n v="984.03"/>
    <n v="4"/>
    <n v="0"/>
    <n v="3936.12"/>
    <n v="0"/>
    <n v="3936.12"/>
    <x v="205"/>
    <n v="1495.73"/>
  </r>
  <r>
    <s v="ORD-10887"/>
    <n v="45036"/>
    <x v="0"/>
    <x v="2"/>
    <x v="3"/>
    <x v="2"/>
    <x v="3"/>
    <x v="23"/>
    <x v="6"/>
    <x v="0"/>
    <x v="1"/>
    <x v="2"/>
    <n v="19.21"/>
    <n v="15"/>
    <n v="0"/>
    <n v="288.15000000000003"/>
    <n v="0"/>
    <n v="288.15000000000003"/>
    <x v="206"/>
    <n v="178.65000000000003"/>
  </r>
  <r>
    <s v="ORD-10964"/>
    <n v="44811"/>
    <x v="0"/>
    <x v="1"/>
    <x v="1"/>
    <x v="2"/>
    <x v="4"/>
    <x v="4"/>
    <x v="1"/>
    <x v="2"/>
    <x v="0"/>
    <x v="2"/>
    <n v="47.09"/>
    <n v="8"/>
    <n v="0.05"/>
    <n v="376.72"/>
    <n v="18.836000000000002"/>
    <n v="357.88400000000001"/>
    <x v="207"/>
    <n v="135.99400000000003"/>
  </r>
  <r>
    <s v="ORD-10281"/>
    <n v="45237"/>
    <x v="0"/>
    <x v="4"/>
    <x v="10"/>
    <x v="0"/>
    <x v="0"/>
    <x v="20"/>
    <x v="4"/>
    <x v="0"/>
    <x v="3"/>
    <x v="2"/>
    <n v="26.4"/>
    <n v="23"/>
    <n v="0.1"/>
    <n v="607.19999999999993"/>
    <n v="60.72"/>
    <n v="546.4799999999999"/>
    <x v="208"/>
    <n v="245.9199999999999"/>
  </r>
  <r>
    <s v="ORD-10569"/>
    <n v="45105"/>
    <x v="0"/>
    <x v="0"/>
    <x v="0"/>
    <x v="1"/>
    <x v="1"/>
    <x v="12"/>
    <x v="10"/>
    <x v="3"/>
    <x v="4"/>
    <x v="0"/>
    <n v="155.97"/>
    <n v="1"/>
    <n v="0.15"/>
    <n v="155.97"/>
    <n v="23.395499999999998"/>
    <n v="132.5745"/>
    <x v="209"/>
    <n v="68.944500000000005"/>
  </r>
  <r>
    <s v="ORD-10012"/>
    <n v="45046"/>
    <x v="0"/>
    <x v="3"/>
    <x v="8"/>
    <x v="1"/>
    <x v="4"/>
    <x v="11"/>
    <x v="4"/>
    <x v="0"/>
    <x v="0"/>
    <x v="2"/>
    <n v="881.29"/>
    <n v="1"/>
    <n v="0.15"/>
    <n v="881.29"/>
    <n v="132.1935"/>
    <n v="749.09649999999999"/>
    <x v="210"/>
    <n v="284.65649999999999"/>
  </r>
  <r>
    <s v="ORD-10042"/>
    <n v="45131"/>
    <x v="0"/>
    <x v="1"/>
    <x v="5"/>
    <x v="3"/>
    <x v="1"/>
    <x v="2"/>
    <x v="6"/>
    <x v="0"/>
    <x v="4"/>
    <x v="0"/>
    <n v="247.77"/>
    <n v="8"/>
    <n v="0.05"/>
    <n v="1982.16"/>
    <n v="99.108000000000004"/>
    <n v="1883.0520000000001"/>
    <x v="211"/>
    <n v="979.19200000000012"/>
  </r>
  <r>
    <s v="ORD-10305"/>
    <n v="45017"/>
    <x v="0"/>
    <x v="4"/>
    <x v="10"/>
    <x v="1"/>
    <x v="0"/>
    <x v="0"/>
    <x v="1"/>
    <x v="3"/>
    <x v="4"/>
    <x v="3"/>
    <n v="15.89"/>
    <n v="21"/>
    <n v="0.1"/>
    <n v="333.69"/>
    <n v="33.369"/>
    <n v="300.32100000000003"/>
    <x v="212"/>
    <n v="135.14100000000002"/>
  </r>
  <r>
    <s v="ORD-10153"/>
    <n v="45141"/>
    <x v="0"/>
    <x v="1"/>
    <x v="5"/>
    <x v="2"/>
    <x v="4"/>
    <x v="9"/>
    <x v="6"/>
    <x v="3"/>
    <x v="4"/>
    <x v="1"/>
    <n v="731.8"/>
    <n v="5"/>
    <n v="0.1"/>
    <n v="3659"/>
    <n v="365.90000000000003"/>
    <n v="3293.1"/>
    <x v="213"/>
    <n v="1251.3799999999999"/>
  </r>
  <r>
    <s v="ORD-10873"/>
    <n v="44610"/>
    <x v="0"/>
    <x v="0"/>
    <x v="12"/>
    <x v="3"/>
    <x v="1"/>
    <x v="12"/>
    <x v="3"/>
    <x v="1"/>
    <x v="4"/>
    <x v="3"/>
    <n v="147.49"/>
    <n v="1"/>
    <n v="0"/>
    <n v="147.49"/>
    <n v="0"/>
    <n v="147.49"/>
    <x v="214"/>
    <n v="76.690000000000012"/>
  </r>
  <r>
    <s v="ORD-10028"/>
    <n v="45253"/>
    <x v="0"/>
    <x v="4"/>
    <x v="10"/>
    <x v="0"/>
    <x v="2"/>
    <x v="5"/>
    <x v="4"/>
    <x v="1"/>
    <x v="0"/>
    <x v="0"/>
    <n v="62.11"/>
    <n v="4"/>
    <n v="0.15"/>
    <n v="248.44"/>
    <n v="37.265999999999998"/>
    <n v="211.17400000000001"/>
    <x v="215"/>
    <n v="122.48400000000001"/>
  </r>
  <r>
    <s v="ORD-10213"/>
    <n v="44722"/>
    <x v="0"/>
    <x v="1"/>
    <x v="2"/>
    <x v="0"/>
    <x v="3"/>
    <x v="19"/>
    <x v="6"/>
    <x v="0"/>
    <x v="3"/>
    <x v="3"/>
    <n v="27.86"/>
    <n v="10"/>
    <n v="0"/>
    <n v="278.60000000000002"/>
    <n v="0"/>
    <n v="278.60000000000002"/>
    <x v="216"/>
    <n v="172.73000000000002"/>
  </r>
  <r>
    <s v="ORD-10360"/>
    <n v="45170"/>
    <x v="0"/>
    <x v="1"/>
    <x v="1"/>
    <x v="0"/>
    <x v="2"/>
    <x v="10"/>
    <x v="0"/>
    <x v="3"/>
    <x v="0"/>
    <x v="1"/>
    <n v="60.8"/>
    <n v="4"/>
    <n v="0"/>
    <n v="243.2"/>
    <n v="0"/>
    <n v="243.2"/>
    <x v="217"/>
    <n v="141.06"/>
  </r>
  <r>
    <s v="ORD-11022"/>
    <n v="45137"/>
    <x v="0"/>
    <x v="1"/>
    <x v="5"/>
    <x v="2"/>
    <x v="4"/>
    <x v="11"/>
    <x v="1"/>
    <x v="4"/>
    <x v="1"/>
    <x v="2"/>
    <n v="792.19"/>
    <n v="7"/>
    <n v="0.1"/>
    <n v="5545.33"/>
    <n v="554.53300000000002"/>
    <n v="4990.7969999999996"/>
    <x v="218"/>
    <n v="1896.4969999999994"/>
  </r>
  <r>
    <s v="ORD-10240"/>
    <n v="45149"/>
    <x v="0"/>
    <x v="3"/>
    <x v="8"/>
    <x v="3"/>
    <x v="4"/>
    <x v="22"/>
    <x v="0"/>
    <x v="1"/>
    <x v="0"/>
    <x v="3"/>
    <n v="361.45"/>
    <n v="5"/>
    <n v="0"/>
    <n v="1807.25"/>
    <n v="0"/>
    <n v="1807.25"/>
    <x v="219"/>
    <n v="686.76"/>
  </r>
  <r>
    <s v="ORD-11004"/>
    <n v="44987"/>
    <x v="0"/>
    <x v="1"/>
    <x v="1"/>
    <x v="2"/>
    <x v="2"/>
    <x v="10"/>
    <x v="5"/>
    <x v="1"/>
    <x v="3"/>
    <x v="0"/>
    <n v="59.79"/>
    <n v="8"/>
    <n v="0.05"/>
    <n v="478.32"/>
    <n v="23.916"/>
    <n v="454.404"/>
    <x v="220"/>
    <n v="263.55399999999997"/>
  </r>
  <r>
    <s v="ORD-10818"/>
    <n v="45162"/>
    <x v="0"/>
    <x v="3"/>
    <x v="8"/>
    <x v="0"/>
    <x v="4"/>
    <x v="11"/>
    <x v="4"/>
    <x v="2"/>
    <x v="0"/>
    <x v="0"/>
    <n v="871.46"/>
    <n v="5"/>
    <n v="0"/>
    <n v="4357.3"/>
    <n v="0"/>
    <n v="4357.3"/>
    <x v="221"/>
    <n v="1655.77"/>
  </r>
  <r>
    <s v="ORD-10990"/>
    <n v="44637"/>
    <x v="0"/>
    <x v="0"/>
    <x v="12"/>
    <x v="2"/>
    <x v="3"/>
    <x v="7"/>
    <x v="6"/>
    <x v="0"/>
    <x v="4"/>
    <x v="2"/>
    <n v="14.66"/>
    <n v="22"/>
    <n v="0.15"/>
    <n v="322.52"/>
    <n v="48.377999999999993"/>
    <n v="274.142"/>
    <x v="222"/>
    <n v="169.97199999999998"/>
  </r>
  <r>
    <s v="ORD-10589"/>
    <n v="44822"/>
    <x v="0"/>
    <x v="3"/>
    <x v="11"/>
    <x v="3"/>
    <x v="1"/>
    <x v="18"/>
    <x v="6"/>
    <x v="1"/>
    <x v="0"/>
    <x v="3"/>
    <n v="511.1"/>
    <n v="3"/>
    <n v="0.05"/>
    <n v="1533.3000000000002"/>
    <n v="76.665000000000006"/>
    <n v="1456.6350000000002"/>
    <x v="223"/>
    <n v="757.45500000000027"/>
  </r>
  <r>
    <s v="ORD-10709"/>
    <n v="44948"/>
    <x v="0"/>
    <x v="4"/>
    <x v="14"/>
    <x v="0"/>
    <x v="2"/>
    <x v="4"/>
    <x v="5"/>
    <x v="1"/>
    <x v="4"/>
    <x v="1"/>
    <n v="44.58"/>
    <n v="6"/>
    <n v="0.05"/>
    <n v="267.48"/>
    <n v="13.374000000000002"/>
    <n v="254.10600000000002"/>
    <x v="224"/>
    <n v="147.37600000000003"/>
  </r>
  <r>
    <s v="ORD-10159"/>
    <n v="44735"/>
    <x v="0"/>
    <x v="3"/>
    <x v="8"/>
    <x v="2"/>
    <x v="1"/>
    <x v="12"/>
    <x v="7"/>
    <x v="2"/>
    <x v="4"/>
    <x v="1"/>
    <n v="128.36000000000001"/>
    <n v="5"/>
    <n v="0.05"/>
    <n v="641.80000000000007"/>
    <n v="32.090000000000003"/>
    <n v="609.71"/>
    <x v="225"/>
    <n v="317.05"/>
  </r>
  <r>
    <s v="ORD-10160"/>
    <n v="45202"/>
    <x v="0"/>
    <x v="3"/>
    <x v="11"/>
    <x v="2"/>
    <x v="0"/>
    <x v="0"/>
    <x v="10"/>
    <x v="1"/>
    <x v="1"/>
    <x v="1"/>
    <n v="18.440000000000001"/>
    <n v="11"/>
    <n v="0.2"/>
    <n v="202.84"/>
    <n v="40.568000000000005"/>
    <n v="162.27199999999999"/>
    <x v="226"/>
    <n v="73.021999999999991"/>
  </r>
  <r>
    <s v="ORD-10343"/>
    <n v="44967"/>
    <x v="0"/>
    <x v="1"/>
    <x v="5"/>
    <x v="1"/>
    <x v="2"/>
    <x v="4"/>
    <x v="4"/>
    <x v="1"/>
    <x v="1"/>
    <x v="1"/>
    <n v="45.41"/>
    <n v="5"/>
    <n v="0.2"/>
    <n v="227.04999999999998"/>
    <n v="45.41"/>
    <n v="181.64"/>
    <x v="227"/>
    <n v="105.34999999999998"/>
  </r>
  <r>
    <s v="ORD-10689"/>
    <n v="44874"/>
    <x v="0"/>
    <x v="1"/>
    <x v="1"/>
    <x v="2"/>
    <x v="0"/>
    <x v="16"/>
    <x v="3"/>
    <x v="4"/>
    <x v="4"/>
    <x v="2"/>
    <n v="10.87"/>
    <n v="15"/>
    <n v="0.15"/>
    <n v="163.04999999999998"/>
    <n v="24.457499999999996"/>
    <n v="138.59249999999997"/>
    <x v="228"/>
    <n v="62.372499999999974"/>
  </r>
  <r>
    <s v="ORD-10486"/>
    <n v="44722"/>
    <x v="0"/>
    <x v="0"/>
    <x v="0"/>
    <x v="0"/>
    <x v="2"/>
    <x v="4"/>
    <x v="10"/>
    <x v="1"/>
    <x v="1"/>
    <x v="3"/>
    <n v="44.27"/>
    <n v="3"/>
    <n v="0"/>
    <n v="132.81"/>
    <n v="0"/>
    <n v="132.81"/>
    <x v="229"/>
    <n v="77.03"/>
  </r>
  <r>
    <s v="ORD-10680"/>
    <n v="45047"/>
    <x v="0"/>
    <x v="2"/>
    <x v="6"/>
    <x v="0"/>
    <x v="2"/>
    <x v="5"/>
    <x v="10"/>
    <x v="1"/>
    <x v="2"/>
    <x v="1"/>
    <n v="82.89"/>
    <n v="3"/>
    <n v="0.2"/>
    <n v="248.67000000000002"/>
    <n v="49.734000000000009"/>
    <n v="198.93600000000001"/>
    <x v="230"/>
    <n v="115.38600000000001"/>
  </r>
  <r>
    <s v="ORD-10949"/>
    <n v="44985"/>
    <x v="0"/>
    <x v="0"/>
    <x v="9"/>
    <x v="1"/>
    <x v="3"/>
    <x v="6"/>
    <x v="11"/>
    <x v="0"/>
    <x v="2"/>
    <x v="1"/>
    <n v="275.54000000000002"/>
    <n v="22"/>
    <n v="0.15"/>
    <n v="6061.88"/>
    <n v="909.28200000000004"/>
    <n v="5152.598"/>
    <x v="231"/>
    <n v="3194.6080000000002"/>
  </r>
  <r>
    <s v="ORD-10211"/>
    <n v="44732"/>
    <x v="0"/>
    <x v="3"/>
    <x v="7"/>
    <x v="3"/>
    <x v="2"/>
    <x v="17"/>
    <x v="3"/>
    <x v="0"/>
    <x v="2"/>
    <x v="2"/>
    <n v="100.66"/>
    <n v="2"/>
    <n v="0.2"/>
    <n v="201.32"/>
    <n v="40.264000000000003"/>
    <n v="161.05599999999998"/>
    <x v="232"/>
    <n v="93.405999999999977"/>
  </r>
  <r>
    <s v="ORD-10483"/>
    <n v="44739"/>
    <x v="0"/>
    <x v="4"/>
    <x v="13"/>
    <x v="3"/>
    <x v="0"/>
    <x v="16"/>
    <x v="0"/>
    <x v="0"/>
    <x v="4"/>
    <x v="1"/>
    <n v="11.21"/>
    <n v="2"/>
    <n v="0"/>
    <n v="22.42"/>
    <n v="0"/>
    <n v="22.42"/>
    <x v="233"/>
    <n v="10.090000000000002"/>
  </r>
  <r>
    <s v="ORD-10284"/>
    <n v="45140"/>
    <x v="0"/>
    <x v="0"/>
    <x v="0"/>
    <x v="1"/>
    <x v="3"/>
    <x v="6"/>
    <x v="6"/>
    <x v="0"/>
    <x v="3"/>
    <x v="0"/>
    <n v="294.88"/>
    <n v="18"/>
    <n v="0.1"/>
    <n v="5307.84"/>
    <n v="530.78399999999999"/>
    <n v="4777.0560000000005"/>
    <x v="234"/>
    <n v="2961.7760000000007"/>
  </r>
  <r>
    <s v="ORD-10882"/>
    <n v="44735"/>
    <x v="0"/>
    <x v="0"/>
    <x v="12"/>
    <x v="2"/>
    <x v="4"/>
    <x v="9"/>
    <x v="0"/>
    <x v="4"/>
    <x v="2"/>
    <x v="2"/>
    <n v="645.04999999999995"/>
    <n v="7"/>
    <n v="0.2"/>
    <n v="4515.3499999999995"/>
    <n v="903.06999999999994"/>
    <n v="3612.2799999999997"/>
    <x v="235"/>
    <n v="1372.6699999999996"/>
  </r>
  <r>
    <s v="ORD-10766"/>
    <n v="44576"/>
    <x v="0"/>
    <x v="3"/>
    <x v="7"/>
    <x v="0"/>
    <x v="4"/>
    <x v="11"/>
    <x v="6"/>
    <x v="3"/>
    <x v="1"/>
    <x v="3"/>
    <n v="751.05"/>
    <n v="8"/>
    <n v="0"/>
    <n v="6008.4"/>
    <n v="0"/>
    <n v="6008.4"/>
    <x v="236"/>
    <n v="2283.1899999999996"/>
  </r>
  <r>
    <s v="ORD-10193"/>
    <n v="45090"/>
    <x v="0"/>
    <x v="1"/>
    <x v="1"/>
    <x v="1"/>
    <x v="4"/>
    <x v="4"/>
    <x v="7"/>
    <x v="2"/>
    <x v="0"/>
    <x v="1"/>
    <n v="38.39"/>
    <n v="4"/>
    <n v="0"/>
    <n v="153.56"/>
    <n v="0"/>
    <n v="153.56"/>
    <x v="237"/>
    <n v="58.350000000000009"/>
  </r>
  <r>
    <s v="ORD-10748"/>
    <n v="45044"/>
    <x v="0"/>
    <x v="3"/>
    <x v="7"/>
    <x v="1"/>
    <x v="2"/>
    <x v="10"/>
    <x v="6"/>
    <x v="0"/>
    <x v="3"/>
    <x v="1"/>
    <s v="N/A"/>
    <n v="4"/>
    <n v="0.05"/>
    <n v="0"/>
    <n v="0"/>
    <n v="0"/>
    <x v="9"/>
    <e v="#VALUE!"/>
  </r>
  <r>
    <s v="ORD-10352"/>
    <n v="44651"/>
    <x v="0"/>
    <x v="3"/>
    <x v="11"/>
    <x v="0"/>
    <x v="0"/>
    <x v="3"/>
    <x v="9"/>
    <x v="3"/>
    <x v="0"/>
    <x v="1"/>
    <n v="21.98"/>
    <n v="20"/>
    <n v="0.1"/>
    <n v="439.6"/>
    <n v="43.960000000000008"/>
    <n v="395.64"/>
    <x v="238"/>
    <n v="178.04"/>
  </r>
  <r>
    <s v="ORD-10004"/>
    <n v="44812"/>
    <x v="0"/>
    <x v="4"/>
    <x v="14"/>
    <x v="0"/>
    <x v="2"/>
    <x v="17"/>
    <x v="4"/>
    <x v="3"/>
    <x v="1"/>
    <x v="3"/>
    <n v="130.59"/>
    <n v="1"/>
    <n v="0"/>
    <n v="130.59"/>
    <n v="0"/>
    <n v="130.59"/>
    <x v="239"/>
    <n v="75.740000000000009"/>
  </r>
  <r>
    <s v="ORD-10690"/>
    <n v="44999"/>
    <x v="0"/>
    <x v="3"/>
    <x v="7"/>
    <x v="2"/>
    <x v="2"/>
    <x v="15"/>
    <x v="11"/>
    <x v="3"/>
    <x v="2"/>
    <x v="2"/>
    <n v="184.37"/>
    <n v="5"/>
    <n v="0.2"/>
    <n v="921.85"/>
    <n v="184.37"/>
    <n v="737.48"/>
    <x v="240"/>
    <n v="427.74"/>
  </r>
  <r>
    <s v="ORD-10739"/>
    <n v="45133"/>
    <x v="0"/>
    <x v="2"/>
    <x v="6"/>
    <x v="3"/>
    <x v="1"/>
    <x v="2"/>
    <x v="9"/>
    <x v="2"/>
    <x v="3"/>
    <x v="2"/>
    <n v="243.12"/>
    <n v="8"/>
    <n v="0.1"/>
    <n v="1944.96"/>
    <n v="194.49600000000001"/>
    <n v="1750.4639999999999"/>
    <x v="241"/>
    <n v="910.24399999999991"/>
  </r>
  <r>
    <s v="ORD-10912"/>
    <n v="44882"/>
    <x v="0"/>
    <x v="2"/>
    <x v="6"/>
    <x v="1"/>
    <x v="2"/>
    <x v="5"/>
    <x v="1"/>
    <x v="2"/>
    <x v="2"/>
    <x v="0"/>
    <n v="72.459999999999994"/>
    <n v="5"/>
    <n v="0"/>
    <n v="362.29999999999995"/>
    <n v="0"/>
    <n v="362.29999999999995"/>
    <x v="242"/>
    <n v="210.12999999999997"/>
  </r>
  <r>
    <s v="ORD-10885"/>
    <n v="44709"/>
    <x v="0"/>
    <x v="1"/>
    <x v="1"/>
    <x v="0"/>
    <x v="2"/>
    <x v="4"/>
    <x v="6"/>
    <x v="0"/>
    <x v="1"/>
    <x v="3"/>
    <n v="42"/>
    <n v="7"/>
    <n v="0.05"/>
    <n v="294"/>
    <n v="14.700000000000001"/>
    <n v="279.3"/>
    <x v="243"/>
    <n v="161.99"/>
  </r>
  <r>
    <s v="ORD-11007"/>
    <n v="45175"/>
    <x v="0"/>
    <x v="1"/>
    <x v="1"/>
    <x v="3"/>
    <x v="4"/>
    <x v="11"/>
    <x v="7"/>
    <x v="2"/>
    <x v="0"/>
    <x v="1"/>
    <n v="918.48"/>
    <n v="2"/>
    <n v="0"/>
    <n v="1836.96"/>
    <n v="0"/>
    <n v="1836.96"/>
    <x v="244"/>
    <n v="698.04"/>
  </r>
  <r>
    <s v="ORD-10371"/>
    <n v="44674"/>
    <x v="0"/>
    <x v="0"/>
    <x v="9"/>
    <x v="0"/>
    <x v="1"/>
    <x v="21"/>
    <x v="8"/>
    <x v="3"/>
    <x v="4"/>
    <x v="3"/>
    <n v="329.07"/>
    <n v="7"/>
    <n v="0.05"/>
    <n v="2303.4899999999998"/>
    <n v="115.17449999999999"/>
    <n v="2188.3154999999997"/>
    <x v="245"/>
    <n v="1137.9254999999996"/>
  </r>
  <r>
    <s v="ORD-10134"/>
    <n v="44938"/>
    <x v="0"/>
    <x v="2"/>
    <x v="6"/>
    <x v="0"/>
    <x v="1"/>
    <x v="1"/>
    <x v="10"/>
    <x v="4"/>
    <x v="4"/>
    <x v="3"/>
    <n v="386.21"/>
    <n v="8"/>
    <n v="0.2"/>
    <n v="3089.68"/>
    <n v="617.93600000000004"/>
    <n v="2471.7439999999997"/>
    <x v="246"/>
    <n v="1285.3039999999996"/>
  </r>
  <r>
    <s v="ORD-10250"/>
    <n v="44757"/>
    <x v="0"/>
    <x v="0"/>
    <x v="9"/>
    <x v="1"/>
    <x v="2"/>
    <x v="10"/>
    <x v="4"/>
    <x v="3"/>
    <x v="2"/>
    <x v="2"/>
    <s v="N/A"/>
    <n v="3"/>
    <n v="0.05"/>
    <n v="0"/>
    <n v="0"/>
    <n v="0"/>
    <x v="9"/>
    <e v="#VALUE!"/>
  </r>
  <r>
    <s v="ORD-10419"/>
    <n v="44651"/>
    <x v="0"/>
    <x v="4"/>
    <x v="10"/>
    <x v="1"/>
    <x v="2"/>
    <x v="15"/>
    <x v="10"/>
    <x v="2"/>
    <x v="1"/>
    <x v="3"/>
    <n v="182.63"/>
    <n v="7"/>
    <n v="0"/>
    <n v="1278.4099999999999"/>
    <n v="0"/>
    <n v="1278.4099999999999"/>
    <x v="247"/>
    <n v="741.4799999999999"/>
  </r>
  <r>
    <s v="ORD-10495"/>
    <n v="45093"/>
    <x v="0"/>
    <x v="3"/>
    <x v="7"/>
    <x v="1"/>
    <x v="0"/>
    <x v="16"/>
    <x v="4"/>
    <x v="0"/>
    <x v="4"/>
    <x v="3"/>
    <n v="13.71"/>
    <n v="14"/>
    <n v="0.2"/>
    <n v="191.94"/>
    <n v="38.388000000000005"/>
    <n v="153.55199999999999"/>
    <x v="248"/>
    <n v="69.10199999999999"/>
  </r>
  <r>
    <s v="ORD-10289"/>
    <n v="44917"/>
    <x v="0"/>
    <x v="0"/>
    <x v="9"/>
    <x v="0"/>
    <x v="0"/>
    <x v="0"/>
    <x v="10"/>
    <x v="0"/>
    <x v="3"/>
    <x v="1"/>
    <n v="13.8"/>
    <n v="17"/>
    <n v="0"/>
    <n v="234.60000000000002"/>
    <n v="0"/>
    <n v="234.60000000000002"/>
    <x v="249"/>
    <n v="105.57000000000002"/>
  </r>
  <r>
    <s v="ORD-10556"/>
    <n v="44706"/>
    <x v="0"/>
    <x v="4"/>
    <x v="13"/>
    <x v="2"/>
    <x v="4"/>
    <x v="9"/>
    <x v="1"/>
    <x v="3"/>
    <x v="1"/>
    <x v="1"/>
    <n v="612.29999999999995"/>
    <n v="8"/>
    <n v="0"/>
    <n v="4898.3999999999996"/>
    <n v="0"/>
    <n v="4898.3999999999996"/>
    <x v="250"/>
    <n v="1861.3899999999994"/>
  </r>
  <r>
    <s v="ORD-10477"/>
    <n v="44872"/>
    <x v="0"/>
    <x v="2"/>
    <x v="4"/>
    <x v="2"/>
    <x v="3"/>
    <x v="6"/>
    <x v="7"/>
    <x v="1"/>
    <x v="1"/>
    <x v="1"/>
    <n v="296.42"/>
    <n v="27"/>
    <n v="0"/>
    <n v="8003.34"/>
    <n v="0"/>
    <n v="8003.34"/>
    <x v="251"/>
    <n v="4962.07"/>
  </r>
  <r>
    <s v="ORD-10544"/>
    <n v="44784"/>
    <x v="0"/>
    <x v="3"/>
    <x v="7"/>
    <x v="0"/>
    <x v="0"/>
    <x v="20"/>
    <x v="2"/>
    <x v="1"/>
    <x v="2"/>
    <x v="0"/>
    <n v="22.31"/>
    <n v="6"/>
    <n v="0"/>
    <n v="133.85999999999999"/>
    <n v="0"/>
    <n v="133.85999999999999"/>
    <x v="252"/>
    <n v="60.239999999999981"/>
  </r>
  <r>
    <s v="ORD-10820"/>
    <n v="44584"/>
    <x v="0"/>
    <x v="4"/>
    <x v="13"/>
    <x v="1"/>
    <x v="3"/>
    <x v="23"/>
    <x v="10"/>
    <x v="4"/>
    <x v="1"/>
    <x v="1"/>
    <n v="16.940000000000001"/>
    <n v="12"/>
    <n v="0"/>
    <n v="203.28000000000003"/>
    <n v="0"/>
    <n v="203.28000000000003"/>
    <x v="253"/>
    <n v="126.03000000000003"/>
  </r>
  <r>
    <s v="ORD-10524"/>
    <n v="45216"/>
    <x v="0"/>
    <x v="4"/>
    <x v="10"/>
    <x v="0"/>
    <x v="1"/>
    <x v="21"/>
    <x v="1"/>
    <x v="4"/>
    <x v="1"/>
    <x v="2"/>
    <n v="340.14"/>
    <n v="7"/>
    <n v="0"/>
    <n v="2380.98"/>
    <n v="0"/>
    <n v="2380.98"/>
    <x v="254"/>
    <n v="1238.1100000000001"/>
  </r>
  <r>
    <s v="ORD-10254"/>
    <n v="44994"/>
    <x v="0"/>
    <x v="1"/>
    <x v="5"/>
    <x v="2"/>
    <x v="4"/>
    <x v="11"/>
    <x v="9"/>
    <x v="4"/>
    <x v="2"/>
    <x v="3"/>
    <n v="790.47"/>
    <n v="3"/>
    <n v="0"/>
    <n v="2371.41"/>
    <n v="0"/>
    <n v="2371.41"/>
    <x v="255"/>
    <n v="901.13999999999987"/>
  </r>
  <r>
    <s v="ORD-10646"/>
    <n v="45173"/>
    <x v="0"/>
    <x v="4"/>
    <x v="13"/>
    <x v="3"/>
    <x v="0"/>
    <x v="8"/>
    <x v="5"/>
    <x v="2"/>
    <x v="0"/>
    <x v="1"/>
    <n v="12.09"/>
    <n v="30"/>
    <n v="0"/>
    <n v="362.7"/>
    <n v="0"/>
    <n v="362.7"/>
    <x v="256"/>
    <n v="163.20999999999998"/>
  </r>
  <r>
    <s v="ORD-10502"/>
    <n v="44648"/>
    <x v="0"/>
    <x v="2"/>
    <x v="4"/>
    <x v="0"/>
    <x v="3"/>
    <x v="6"/>
    <x v="1"/>
    <x v="1"/>
    <x v="4"/>
    <x v="1"/>
    <n v="327.94"/>
    <n v="14"/>
    <n v="0"/>
    <n v="4591.16"/>
    <n v="0"/>
    <n v="4591.16"/>
    <x v="257"/>
    <n v="2846.5199999999995"/>
  </r>
  <r>
    <s v="ORD-10479"/>
    <n v="44582"/>
    <x v="0"/>
    <x v="3"/>
    <x v="11"/>
    <x v="0"/>
    <x v="1"/>
    <x v="1"/>
    <x v="7"/>
    <x v="3"/>
    <x v="4"/>
    <x v="1"/>
    <n v="324.2"/>
    <n v="7"/>
    <n v="0.05"/>
    <n v="2269.4"/>
    <n v="113.47000000000001"/>
    <n v="2155.9300000000003"/>
    <x v="258"/>
    <n v="1121.0800000000004"/>
  </r>
  <r>
    <s v="ORD-10530"/>
    <n v="45056"/>
    <x v="0"/>
    <x v="3"/>
    <x v="7"/>
    <x v="3"/>
    <x v="3"/>
    <x v="7"/>
    <x v="9"/>
    <x v="3"/>
    <x v="2"/>
    <x v="1"/>
    <n v="14.5"/>
    <n v="15"/>
    <n v="0.2"/>
    <n v="217.5"/>
    <n v="43.5"/>
    <n v="174"/>
    <x v="259"/>
    <n v="107.88"/>
  </r>
  <r>
    <s v="ORD-10327"/>
    <n v="44904"/>
    <x v="0"/>
    <x v="0"/>
    <x v="12"/>
    <x v="1"/>
    <x v="2"/>
    <x v="10"/>
    <x v="6"/>
    <x v="3"/>
    <x v="2"/>
    <x v="3"/>
    <n v="47.94"/>
    <n v="1"/>
    <n v="0"/>
    <n v="47.94"/>
    <n v="0"/>
    <n v="47.94"/>
    <x v="260"/>
    <n v="27.81"/>
  </r>
  <r>
    <s v="ORD-10307"/>
    <n v="44571"/>
    <x v="0"/>
    <x v="3"/>
    <x v="7"/>
    <x v="1"/>
    <x v="0"/>
    <x v="0"/>
    <x v="11"/>
    <x v="3"/>
    <x v="0"/>
    <x v="1"/>
    <n v="18.04"/>
    <n v="14"/>
    <n v="0.05"/>
    <n v="252.56"/>
    <n v="12.628"/>
    <n v="239.93200000000002"/>
    <x v="261"/>
    <n v="107.97200000000001"/>
  </r>
  <r>
    <s v="ORD-10656"/>
    <n v="44587"/>
    <x v="0"/>
    <x v="4"/>
    <x v="14"/>
    <x v="3"/>
    <x v="3"/>
    <x v="19"/>
    <x v="6"/>
    <x v="4"/>
    <x v="0"/>
    <x v="1"/>
    <n v="28.51"/>
    <n v="26"/>
    <n v="0.2"/>
    <n v="741.26"/>
    <n v="148.25200000000001"/>
    <n v="593.00800000000004"/>
    <x v="262"/>
    <n v="367.66800000000001"/>
  </r>
  <r>
    <s v="ORD-10935"/>
    <n v="44964"/>
    <x v="0"/>
    <x v="4"/>
    <x v="10"/>
    <x v="1"/>
    <x v="3"/>
    <x v="6"/>
    <x v="8"/>
    <x v="1"/>
    <x v="1"/>
    <x v="3"/>
    <n v="291.93"/>
    <m/>
    <n v="0.2"/>
    <n v="0"/>
    <n v="0"/>
    <n v="0"/>
    <x v="9"/>
    <e v="#VALUE!"/>
  </r>
  <r>
    <s v="ORD-10494"/>
    <n v="44931"/>
    <x v="0"/>
    <x v="3"/>
    <x v="8"/>
    <x v="1"/>
    <x v="1"/>
    <x v="21"/>
    <x v="9"/>
    <x v="1"/>
    <x v="2"/>
    <x v="1"/>
    <n v="349.57"/>
    <n v="8"/>
    <n v="0"/>
    <n v="2796.56"/>
    <n v="0"/>
    <n v="2796.56"/>
    <x v="263"/>
    <n v="1454.21"/>
  </r>
  <r>
    <s v="ORD-10365"/>
    <n v="45026"/>
    <x v="0"/>
    <x v="3"/>
    <x v="8"/>
    <x v="3"/>
    <x v="4"/>
    <x v="4"/>
    <x v="0"/>
    <x v="2"/>
    <x v="4"/>
    <x v="2"/>
    <n v="43.33"/>
    <n v="6"/>
    <n v="0.1"/>
    <n v="259.98"/>
    <n v="25.998000000000005"/>
    <n v="233.98200000000003"/>
    <x v="264"/>
    <n v="88.912000000000035"/>
  </r>
  <r>
    <s v="ORD-10469"/>
    <n v="44606"/>
    <x v="0"/>
    <x v="2"/>
    <x v="3"/>
    <x v="0"/>
    <x v="3"/>
    <x v="7"/>
    <x v="5"/>
    <x v="4"/>
    <x v="2"/>
    <x v="3"/>
    <n v="11.75"/>
    <n v="2"/>
    <n v="0.15"/>
    <n v="23.5"/>
    <n v="3.5249999999999999"/>
    <n v="19.975000000000001"/>
    <x v="265"/>
    <n v="12.385000000000002"/>
  </r>
  <r>
    <s v="ORD-11014"/>
    <n v="45274"/>
    <x v="0"/>
    <x v="1"/>
    <x v="1"/>
    <x v="2"/>
    <x v="4"/>
    <x v="13"/>
    <x v="6"/>
    <x v="0"/>
    <x v="1"/>
    <x v="1"/>
    <n v="479.01"/>
    <n v="6"/>
    <n v="0.05"/>
    <n v="2874.06"/>
    <n v="143.703"/>
    <n v="2730.357"/>
    <x v="266"/>
    <n v="1037.537"/>
  </r>
  <r>
    <s v="ORD-10040"/>
    <n v="45032"/>
    <x v="0"/>
    <x v="4"/>
    <x v="14"/>
    <x v="1"/>
    <x v="1"/>
    <x v="18"/>
    <x v="4"/>
    <x v="2"/>
    <x v="3"/>
    <x v="0"/>
    <n v="466.18"/>
    <n v="5"/>
    <n v="0"/>
    <n v="2330.9"/>
    <n v="0"/>
    <n v="2330.9"/>
    <x v="267"/>
    <n v="1212.0700000000002"/>
  </r>
  <r>
    <s v="ORD-10871"/>
    <n v="45220"/>
    <x v="0"/>
    <x v="4"/>
    <x v="14"/>
    <x v="1"/>
    <x v="3"/>
    <x v="19"/>
    <x v="10"/>
    <x v="4"/>
    <x v="0"/>
    <x v="3"/>
    <n v="25.29"/>
    <n v="13"/>
    <n v="0"/>
    <n v="328.77"/>
    <n v="0"/>
    <n v="328.77"/>
    <x v="268"/>
    <n v="203.83999999999997"/>
  </r>
  <r>
    <s v="ORD-10084"/>
    <n v="44605"/>
    <x v="0"/>
    <x v="3"/>
    <x v="8"/>
    <x v="1"/>
    <x v="2"/>
    <x v="10"/>
    <x v="2"/>
    <x v="3"/>
    <x v="4"/>
    <x v="0"/>
    <n v="62.36"/>
    <n v="7"/>
    <n v="0"/>
    <n v="436.52"/>
    <n v="0"/>
    <n v="436.52"/>
    <x v="269"/>
    <n v="253.17999999999998"/>
  </r>
  <r>
    <s v="ORD-10457"/>
    <n v="44698"/>
    <x v="0"/>
    <x v="0"/>
    <x v="9"/>
    <x v="0"/>
    <x v="0"/>
    <x v="3"/>
    <x v="7"/>
    <x v="4"/>
    <x v="2"/>
    <x v="2"/>
    <n v="16.61"/>
    <n v="29"/>
    <n v="0.05"/>
    <n v="481.69"/>
    <n v="24.084500000000002"/>
    <n v="457.60550000000001"/>
    <x v="270"/>
    <n v="205.91550000000001"/>
  </r>
  <r>
    <s v="ORD-10542"/>
    <n v="45144"/>
    <x v="0"/>
    <x v="3"/>
    <x v="7"/>
    <x v="1"/>
    <x v="2"/>
    <x v="4"/>
    <x v="11"/>
    <x v="1"/>
    <x v="0"/>
    <x v="3"/>
    <n v="44.49"/>
    <n v="5"/>
    <n v="0.05"/>
    <n v="222.45000000000002"/>
    <n v="11.122500000000002"/>
    <n v="211.32750000000001"/>
    <x v="271"/>
    <n v="122.56750000000001"/>
  </r>
  <r>
    <s v="ORD-10052"/>
    <n v="44980"/>
    <x v="0"/>
    <x v="0"/>
    <x v="12"/>
    <x v="1"/>
    <x v="4"/>
    <x v="9"/>
    <x v="2"/>
    <x v="0"/>
    <x v="4"/>
    <x v="1"/>
    <n v="705.26"/>
    <n v="1"/>
    <n v="0.05"/>
    <n v="705.26"/>
    <n v="35.262999999999998"/>
    <n v="669.99699999999996"/>
    <x v="272"/>
    <n v="254.59699999999998"/>
  </r>
  <r>
    <s v="ORD-10581"/>
    <n v="44713"/>
    <x v="0"/>
    <x v="3"/>
    <x v="7"/>
    <x v="2"/>
    <x v="1"/>
    <x v="2"/>
    <x v="0"/>
    <x v="2"/>
    <x v="4"/>
    <x v="1"/>
    <n v="197.33"/>
    <n v="6"/>
    <n v="0.1"/>
    <n v="1183.98"/>
    <n v="118.39800000000001"/>
    <n v="1065.5820000000001"/>
    <x v="273"/>
    <n v="554.10200000000009"/>
  </r>
  <r>
    <s v="ORD-10099"/>
    <n v="44995"/>
    <x v="0"/>
    <x v="1"/>
    <x v="1"/>
    <x v="1"/>
    <x v="1"/>
    <x v="12"/>
    <x v="0"/>
    <x v="1"/>
    <x v="1"/>
    <x v="2"/>
    <n v="122.52"/>
    <n v="8"/>
    <n v="0.1"/>
    <n v="980.16"/>
    <n v="98.016000000000005"/>
    <n v="882.14400000000001"/>
    <x v="274"/>
    <n v="458.714"/>
  </r>
  <r>
    <s v="ORD-10113"/>
    <n v="44763"/>
    <x v="0"/>
    <x v="2"/>
    <x v="3"/>
    <x v="3"/>
    <x v="1"/>
    <x v="12"/>
    <x v="1"/>
    <x v="3"/>
    <x v="2"/>
    <x v="0"/>
    <n v="152.13999999999999"/>
    <n v="3"/>
    <n v="0"/>
    <n v="456.41999999999996"/>
    <n v="0"/>
    <n v="456.41999999999996"/>
    <x v="275"/>
    <n v="237.33999999999995"/>
  </r>
  <r>
    <s v="ORD-10664"/>
    <n v="44782"/>
    <x v="0"/>
    <x v="0"/>
    <x v="12"/>
    <x v="2"/>
    <x v="1"/>
    <x v="12"/>
    <x v="0"/>
    <x v="1"/>
    <x v="0"/>
    <x v="3"/>
    <n v="159.13999999999999"/>
    <n v="4"/>
    <n v="0.05"/>
    <n v="636.55999999999995"/>
    <n v="31.827999999999999"/>
    <n v="604.73199999999997"/>
    <x v="276"/>
    <n v="314.46199999999999"/>
  </r>
  <r>
    <s v="ORD-10946"/>
    <n v="45051"/>
    <x v="0"/>
    <x v="1"/>
    <x v="5"/>
    <x v="3"/>
    <x v="1"/>
    <x v="18"/>
    <x v="9"/>
    <x v="1"/>
    <x v="3"/>
    <x v="1"/>
    <n v="418.94"/>
    <n v="5"/>
    <n v="0"/>
    <n v="2094.6999999999998"/>
    <n v="0"/>
    <n v="2094.6999999999998"/>
    <x v="277"/>
    <n v="1089.2399999999998"/>
  </r>
  <r>
    <s v="ORD-10334"/>
    <n v="45238"/>
    <x v="0"/>
    <x v="0"/>
    <x v="0"/>
    <x v="1"/>
    <x v="3"/>
    <x v="14"/>
    <x v="11"/>
    <x v="2"/>
    <x v="4"/>
    <x v="1"/>
    <n v="8.43"/>
    <n v="23"/>
    <n v="0"/>
    <n v="193.89"/>
    <n v="0"/>
    <n v="193.89"/>
    <x v="278"/>
    <n v="120.20999999999998"/>
  </r>
  <r>
    <s v="ORD-10617"/>
    <n v="44879"/>
    <x v="0"/>
    <x v="4"/>
    <x v="13"/>
    <x v="1"/>
    <x v="2"/>
    <x v="4"/>
    <x v="6"/>
    <x v="1"/>
    <x v="1"/>
    <x v="1"/>
    <n v="42.66"/>
    <n v="7"/>
    <n v="0"/>
    <n v="298.62"/>
    <n v="0"/>
    <n v="298.62"/>
    <x v="279"/>
    <n v="173.2"/>
  </r>
  <r>
    <s v="ORD-10126"/>
    <n v="44919"/>
    <x v="0"/>
    <x v="2"/>
    <x v="4"/>
    <x v="1"/>
    <x v="3"/>
    <x v="23"/>
    <x v="0"/>
    <x v="3"/>
    <x v="3"/>
    <x v="2"/>
    <n v="21.19"/>
    <n v="25"/>
    <n v="0.2"/>
    <n v="529.75"/>
    <n v="105.95"/>
    <n v="423.8"/>
    <x v="280"/>
    <n v="262.76"/>
  </r>
  <r>
    <s v="ORD-10975"/>
    <n v="45052"/>
    <x v="0"/>
    <x v="1"/>
    <x v="1"/>
    <x v="2"/>
    <x v="3"/>
    <x v="19"/>
    <x v="7"/>
    <x v="3"/>
    <x v="1"/>
    <x v="1"/>
    <n v="22.71"/>
    <n v="23"/>
    <n v="0.1"/>
    <n v="522.33000000000004"/>
    <n v="52.233000000000004"/>
    <n v="470.09700000000004"/>
    <x v="281"/>
    <n v="291.45700000000005"/>
  </r>
  <r>
    <s v="ORD-10750"/>
    <n v="45136"/>
    <x v="0"/>
    <x v="4"/>
    <x v="13"/>
    <x v="1"/>
    <x v="2"/>
    <x v="4"/>
    <x v="6"/>
    <x v="1"/>
    <x v="1"/>
    <x v="2"/>
    <n v="47.67"/>
    <n v="4"/>
    <n v="0"/>
    <n v="190.68"/>
    <n v="0"/>
    <n v="190.68"/>
    <x v="282"/>
    <n v="110.59"/>
  </r>
  <r>
    <s v="ORD-10180"/>
    <n v="44697"/>
    <x v="0"/>
    <x v="0"/>
    <x v="9"/>
    <x v="0"/>
    <x v="3"/>
    <x v="14"/>
    <x v="4"/>
    <x v="2"/>
    <x v="0"/>
    <x v="1"/>
    <n v="8.93"/>
    <n v="21"/>
    <n v="0"/>
    <n v="187.53"/>
    <n v="0"/>
    <n v="187.53"/>
    <x v="283"/>
    <n v="116.27"/>
  </r>
  <r>
    <s v="ORD-10957"/>
    <n v="45063"/>
    <x v="0"/>
    <x v="2"/>
    <x v="6"/>
    <x v="3"/>
    <x v="2"/>
    <x v="15"/>
    <x v="9"/>
    <x v="2"/>
    <x v="2"/>
    <x v="1"/>
    <n v="143.87"/>
    <n v="1"/>
    <n v="0"/>
    <n v="143.87"/>
    <n v="0"/>
    <n v="143.87"/>
    <x v="284"/>
    <n v="83.44"/>
  </r>
  <r>
    <s v="ORD-10835"/>
    <n v="44660"/>
    <x v="0"/>
    <x v="3"/>
    <x v="7"/>
    <x v="3"/>
    <x v="0"/>
    <x v="0"/>
    <x v="5"/>
    <x v="4"/>
    <x v="3"/>
    <x v="1"/>
    <n v="14.1"/>
    <n v="3"/>
    <n v="0.15"/>
    <n v="42.3"/>
    <n v="6.3449999999999998"/>
    <n v="35.954999999999998"/>
    <x v="285"/>
    <n v="16.174999999999997"/>
  </r>
  <r>
    <s v="ORD-10745"/>
    <n v="44985"/>
    <x v="0"/>
    <x v="4"/>
    <x v="10"/>
    <x v="1"/>
    <x v="1"/>
    <x v="2"/>
    <x v="11"/>
    <x v="1"/>
    <x v="3"/>
    <x v="1"/>
    <n v="256.64"/>
    <n v="1"/>
    <n v="0"/>
    <n v="256.64"/>
    <n v="0"/>
    <n v="256.64"/>
    <x v="286"/>
    <n v="133.44999999999999"/>
  </r>
  <r>
    <s v="ORD-10235"/>
    <n v="44859"/>
    <x v="0"/>
    <x v="3"/>
    <x v="11"/>
    <x v="3"/>
    <x v="0"/>
    <x v="8"/>
    <x v="3"/>
    <x v="2"/>
    <x v="4"/>
    <x v="3"/>
    <n v="9.8699999999999992"/>
    <n v="29"/>
    <n v="0.05"/>
    <n v="286.22999999999996"/>
    <n v="14.311499999999999"/>
    <n v="271.91849999999994"/>
    <x v="287"/>
    <n v="122.35849999999994"/>
  </r>
  <r>
    <s v="ORD-10470"/>
    <n v="44744"/>
    <x v="0"/>
    <x v="4"/>
    <x v="14"/>
    <x v="0"/>
    <x v="4"/>
    <x v="11"/>
    <x v="6"/>
    <x v="4"/>
    <x v="4"/>
    <x v="2"/>
    <n v="942.54"/>
    <n v="3"/>
    <n v="0"/>
    <n v="2827.62"/>
    <n v="0"/>
    <n v="2827.62"/>
    <x v="288"/>
    <n v="1074.5"/>
  </r>
  <r>
    <s v="ORD-10332"/>
    <n v="44856"/>
    <x v="0"/>
    <x v="1"/>
    <x v="1"/>
    <x v="3"/>
    <x v="4"/>
    <x v="13"/>
    <x v="10"/>
    <x v="0"/>
    <x v="2"/>
    <x v="1"/>
    <n v="458.4"/>
    <n v="4"/>
    <n v="0"/>
    <n v="1833.6"/>
    <n v="0"/>
    <n v="1833.6"/>
    <x v="289"/>
    <n v="696.77"/>
  </r>
  <r>
    <s v="ORD-10093"/>
    <n v="44758"/>
    <x v="0"/>
    <x v="4"/>
    <x v="13"/>
    <x v="2"/>
    <x v="1"/>
    <x v="2"/>
    <x v="7"/>
    <x v="1"/>
    <x v="3"/>
    <x v="0"/>
    <n v="245.25"/>
    <n v="3"/>
    <n v="0.1"/>
    <n v="735.75"/>
    <n v="73.575000000000003"/>
    <n v="662.17499999999995"/>
    <x v="290"/>
    <n v="344.33499999999998"/>
  </r>
  <r>
    <s v="ORD-10773"/>
    <n v="44928"/>
    <x v="0"/>
    <x v="0"/>
    <x v="9"/>
    <x v="1"/>
    <x v="2"/>
    <x v="4"/>
    <x v="5"/>
    <x v="1"/>
    <x v="4"/>
    <x v="0"/>
    <n v="48.93"/>
    <n v="7"/>
    <n v="0.15"/>
    <n v="342.51"/>
    <n v="51.3765"/>
    <n v="291.13349999999997"/>
    <x v="291"/>
    <n v="168.86349999999999"/>
  </r>
  <r>
    <s v="ORD-10323"/>
    <n v="44984"/>
    <x v="0"/>
    <x v="3"/>
    <x v="11"/>
    <x v="1"/>
    <x v="3"/>
    <x v="7"/>
    <x v="6"/>
    <x v="3"/>
    <x v="3"/>
    <x v="1"/>
    <n v="13.88"/>
    <n v="30"/>
    <n v="0.15"/>
    <n v="416.40000000000003"/>
    <n v="62.46"/>
    <n v="353.94000000000005"/>
    <x v="292"/>
    <n v="219.44000000000005"/>
  </r>
  <r>
    <s v="ORD-10727"/>
    <n v="45112"/>
    <x v="0"/>
    <x v="4"/>
    <x v="14"/>
    <x v="0"/>
    <x v="0"/>
    <x v="0"/>
    <x v="1"/>
    <x v="2"/>
    <x v="0"/>
    <x v="1"/>
    <n v="13.46"/>
    <n v="14"/>
    <n v="0.05"/>
    <n v="188.44"/>
    <n v="9.4220000000000006"/>
    <n v="179.018"/>
    <x v="293"/>
    <n v="80.558000000000007"/>
  </r>
  <r>
    <s v="ORD-10529"/>
    <n v="45160"/>
    <x v="0"/>
    <x v="3"/>
    <x v="8"/>
    <x v="1"/>
    <x v="4"/>
    <x v="4"/>
    <x v="4"/>
    <x v="3"/>
    <x v="2"/>
    <x v="1"/>
    <n v="51.77"/>
    <n v="6"/>
    <n v="0.05"/>
    <n v="310.62"/>
    <n v="15.531000000000001"/>
    <n v="295.089"/>
    <x v="294"/>
    <n v="112.12899999999999"/>
  </r>
  <r>
    <s v="ORD-10985"/>
    <n v="44570"/>
    <x v="0"/>
    <x v="4"/>
    <x v="10"/>
    <x v="1"/>
    <x v="2"/>
    <x v="15"/>
    <x v="0"/>
    <x v="4"/>
    <x v="2"/>
    <x v="1"/>
    <n v="147.36000000000001"/>
    <n v="3"/>
    <n v="0"/>
    <n v="442.08000000000004"/>
    <n v="0"/>
    <n v="442.08000000000004"/>
    <x v="295"/>
    <n v="256.41000000000008"/>
  </r>
  <r>
    <s v="ORD-10925"/>
    <n v="45030"/>
    <x v="0"/>
    <x v="3"/>
    <x v="11"/>
    <x v="3"/>
    <x v="1"/>
    <x v="21"/>
    <x v="10"/>
    <x v="3"/>
    <x v="3"/>
    <x v="1"/>
    <n v="255.51"/>
    <n v="2"/>
    <n v="0"/>
    <n v="511.02"/>
    <n v="0"/>
    <n v="511.02"/>
    <x v="296"/>
    <n v="265.73"/>
  </r>
  <r>
    <s v="ORD-10854"/>
    <n v="45216"/>
    <x v="0"/>
    <x v="4"/>
    <x v="14"/>
    <x v="1"/>
    <x v="1"/>
    <x v="12"/>
    <x v="8"/>
    <x v="0"/>
    <x v="0"/>
    <x v="1"/>
    <n v="169.16"/>
    <n v="3"/>
    <n v="0"/>
    <n v="507.48"/>
    <n v="0"/>
    <n v="507.48"/>
    <x v="297"/>
    <n v="263.89"/>
  </r>
  <r>
    <s v="ORD-10085"/>
    <n v="45194"/>
    <x v="0"/>
    <x v="3"/>
    <x v="11"/>
    <x v="1"/>
    <x v="3"/>
    <x v="14"/>
    <x v="9"/>
    <x v="1"/>
    <x v="1"/>
    <x v="2"/>
    <n v="8.48"/>
    <n v="13"/>
    <n v="0.2"/>
    <n v="110.24000000000001"/>
    <n v="22.048000000000002"/>
    <n v="88.192000000000007"/>
    <x v="298"/>
    <n v="54.682000000000009"/>
  </r>
  <r>
    <s v="ORD-10063"/>
    <n v="45056"/>
    <x v="0"/>
    <x v="1"/>
    <x v="2"/>
    <x v="0"/>
    <x v="2"/>
    <x v="4"/>
    <x v="2"/>
    <x v="3"/>
    <x v="0"/>
    <x v="3"/>
    <s v="N/A"/>
    <n v="7"/>
    <n v="0"/>
    <n v="0"/>
    <n v="0"/>
    <n v="0"/>
    <x v="9"/>
    <e v="#VALUE!"/>
  </r>
  <r>
    <s v="ORD-10450"/>
    <n v="45074"/>
    <x v="0"/>
    <x v="1"/>
    <x v="5"/>
    <x v="2"/>
    <x v="0"/>
    <x v="8"/>
    <x v="7"/>
    <x v="0"/>
    <x v="2"/>
    <x v="1"/>
    <n v="11.59"/>
    <n v="11"/>
    <n v="0"/>
    <n v="127.49"/>
    <n v="0"/>
    <n v="127.49"/>
    <x v="299"/>
    <n v="57.36999999999999"/>
  </r>
  <r>
    <s v="ORD-10918"/>
    <n v="44717"/>
    <x v="0"/>
    <x v="1"/>
    <x v="5"/>
    <x v="2"/>
    <x v="1"/>
    <x v="1"/>
    <x v="0"/>
    <x v="2"/>
    <x v="0"/>
    <x v="1"/>
    <n v="385.72"/>
    <n v="2"/>
    <n v="0.05"/>
    <n v="771.44"/>
    <n v="38.572000000000003"/>
    <n v="732.86800000000005"/>
    <x v="300"/>
    <n v="381.08800000000008"/>
  </r>
  <r>
    <s v="ORD-10456"/>
    <n v="44701"/>
    <x v="0"/>
    <x v="1"/>
    <x v="1"/>
    <x v="3"/>
    <x v="1"/>
    <x v="12"/>
    <x v="2"/>
    <x v="3"/>
    <x v="2"/>
    <x v="1"/>
    <n v="132.97999999999999"/>
    <n v="3"/>
    <n v="0.2"/>
    <n v="398.93999999999994"/>
    <n v="79.787999999999997"/>
    <n v="319.15199999999993"/>
    <x v="301"/>
    <n v="165.96199999999993"/>
  </r>
  <r>
    <s v="ORD-10442"/>
    <n v="44582"/>
    <x v="0"/>
    <x v="3"/>
    <x v="11"/>
    <x v="2"/>
    <x v="4"/>
    <x v="13"/>
    <x v="9"/>
    <x v="3"/>
    <x v="4"/>
    <x v="1"/>
    <n v="469.33"/>
    <n v="2"/>
    <n v="0.15"/>
    <n v="938.66"/>
    <n v="140.79899999999998"/>
    <n v="797.86099999999999"/>
    <x v="302"/>
    <n v="303.19099999999997"/>
  </r>
  <r>
    <s v="ORD-10420"/>
    <n v="45099"/>
    <x v="0"/>
    <x v="0"/>
    <x v="9"/>
    <x v="0"/>
    <x v="0"/>
    <x v="16"/>
    <x v="0"/>
    <x v="1"/>
    <x v="4"/>
    <x v="3"/>
    <n v="12.19"/>
    <n v="18"/>
    <n v="0.05"/>
    <n v="219.42"/>
    <n v="10.971"/>
    <n v="208.44899999999998"/>
    <x v="303"/>
    <n v="93.798999999999978"/>
  </r>
  <r>
    <s v="ORD-10828"/>
    <n v="45080"/>
    <x v="0"/>
    <x v="2"/>
    <x v="4"/>
    <x v="0"/>
    <x v="0"/>
    <x v="20"/>
    <x v="5"/>
    <x v="4"/>
    <x v="2"/>
    <x v="2"/>
    <n v="25.3"/>
    <n v="11"/>
    <n v="0.05"/>
    <n v="278.3"/>
    <n v="13.915000000000001"/>
    <n v="264.38499999999999"/>
    <x v="304"/>
    <n v="118.97499999999999"/>
  </r>
  <r>
    <s v="ORD-10195"/>
    <n v="44947"/>
    <x v="0"/>
    <x v="0"/>
    <x v="9"/>
    <x v="3"/>
    <x v="1"/>
    <x v="18"/>
    <x v="6"/>
    <x v="0"/>
    <x v="4"/>
    <x v="1"/>
    <n v="510.6"/>
    <n v="2"/>
    <n v="0"/>
    <n v="1021.2"/>
    <n v="0"/>
    <n v="1021.2"/>
    <x v="305"/>
    <n v="531.02"/>
  </r>
  <r>
    <s v="ORD-10372"/>
    <n v="45130"/>
    <x v="0"/>
    <x v="3"/>
    <x v="7"/>
    <x v="2"/>
    <x v="2"/>
    <x v="5"/>
    <x v="7"/>
    <x v="4"/>
    <x v="1"/>
    <x v="1"/>
    <n v="77.650000000000006"/>
    <n v="3"/>
    <n v="0.15"/>
    <n v="232.95000000000002"/>
    <n v="34.942500000000003"/>
    <n v="198.00750000000002"/>
    <x v="306"/>
    <n v="114.84750000000003"/>
  </r>
  <r>
    <s v="ORD-10184"/>
    <n v="44650"/>
    <x v="0"/>
    <x v="1"/>
    <x v="2"/>
    <x v="0"/>
    <x v="4"/>
    <x v="22"/>
    <x v="8"/>
    <x v="0"/>
    <x v="0"/>
    <x v="2"/>
    <n v="408.25"/>
    <n v="4"/>
    <n v="0"/>
    <n v="1633"/>
    <n v="0"/>
    <n v="1633"/>
    <x v="307"/>
    <n v="620.54"/>
  </r>
  <r>
    <s v="ORD-10736"/>
    <n v="44831"/>
    <x v="0"/>
    <x v="1"/>
    <x v="2"/>
    <x v="2"/>
    <x v="3"/>
    <x v="14"/>
    <x v="2"/>
    <x v="1"/>
    <x v="1"/>
    <x v="3"/>
    <n v="7.85"/>
    <n v="17"/>
    <n v="0"/>
    <n v="133.44999999999999"/>
    <n v="0"/>
    <n v="133.44999999999999"/>
    <x v="308"/>
    <n v="82.739999999999981"/>
  </r>
  <r>
    <s v="ORD-10433"/>
    <n v="45129"/>
    <x v="0"/>
    <x v="3"/>
    <x v="7"/>
    <x v="2"/>
    <x v="2"/>
    <x v="5"/>
    <x v="0"/>
    <x v="0"/>
    <x v="0"/>
    <x v="1"/>
    <n v="87.46"/>
    <n v="8"/>
    <n v="0.15"/>
    <n v="699.68"/>
    <n v="104.95199999999998"/>
    <n v="594.72799999999995"/>
    <x v="309"/>
    <n v="344.93799999999999"/>
  </r>
  <r>
    <s v="ORD-10685"/>
    <n v="45259"/>
    <x v="0"/>
    <x v="4"/>
    <x v="10"/>
    <x v="0"/>
    <x v="3"/>
    <x v="7"/>
    <x v="3"/>
    <x v="4"/>
    <x v="0"/>
    <x v="2"/>
    <n v="10.51"/>
    <n v="10"/>
    <n v="0"/>
    <n v="105.1"/>
    <n v="0"/>
    <n v="105.1"/>
    <x v="310"/>
    <n v="65.16"/>
  </r>
  <r>
    <s v="ORD-11031"/>
    <n v="45052"/>
    <x v="0"/>
    <x v="3"/>
    <x v="11"/>
    <x v="3"/>
    <x v="0"/>
    <x v="0"/>
    <x v="11"/>
    <x v="3"/>
    <x v="1"/>
    <x v="0"/>
    <n v="17.54"/>
    <n v="8"/>
    <n v="0"/>
    <n v="140.32"/>
    <n v="0"/>
    <n v="140.32"/>
    <x v="311"/>
    <n v="63.139999999999986"/>
  </r>
  <r>
    <s v="ORD-10121"/>
    <n v="45182"/>
    <x v="0"/>
    <x v="2"/>
    <x v="6"/>
    <x v="0"/>
    <x v="3"/>
    <x v="7"/>
    <x v="2"/>
    <x v="4"/>
    <x v="4"/>
    <x v="0"/>
    <n v="13.05"/>
    <n v="17"/>
    <n v="0.2"/>
    <n v="221.85000000000002"/>
    <n v="44.370000000000005"/>
    <n v="177.48000000000002"/>
    <x v="312"/>
    <n v="110.04000000000002"/>
  </r>
  <r>
    <s v="ORD-10742"/>
    <n v="44624"/>
    <x v="0"/>
    <x v="2"/>
    <x v="3"/>
    <x v="1"/>
    <x v="3"/>
    <x v="23"/>
    <x v="9"/>
    <x v="0"/>
    <x v="4"/>
    <x v="2"/>
    <n v="17.18"/>
    <n v="2"/>
    <n v="0"/>
    <n v="34.36"/>
    <n v="0"/>
    <n v="34.36"/>
    <x v="313"/>
    <n v="21.299999999999997"/>
  </r>
  <r>
    <s v="ORD-10326"/>
    <n v="45144"/>
    <x v="0"/>
    <x v="4"/>
    <x v="10"/>
    <x v="2"/>
    <x v="4"/>
    <x v="13"/>
    <x v="10"/>
    <x v="4"/>
    <x v="4"/>
    <x v="3"/>
    <n v="435.24"/>
    <n v="5"/>
    <n v="0"/>
    <n v="2176.1999999999998"/>
    <n v="0"/>
    <n v="2176.1999999999998"/>
    <x v="314"/>
    <n v="826.95999999999981"/>
  </r>
  <r>
    <s v="ORD-10381"/>
    <n v="45021"/>
    <x v="0"/>
    <x v="3"/>
    <x v="11"/>
    <x v="0"/>
    <x v="3"/>
    <x v="7"/>
    <x v="4"/>
    <x v="1"/>
    <x v="2"/>
    <x v="0"/>
    <n v="14.79"/>
    <n v="14"/>
    <n v="0.1"/>
    <n v="207.06"/>
    <n v="20.706000000000003"/>
    <n v="186.35399999999998"/>
    <x v="315"/>
    <n v="115.54399999999998"/>
  </r>
  <r>
    <s v="ORD-10204"/>
    <n v="44592"/>
    <x v="0"/>
    <x v="0"/>
    <x v="9"/>
    <x v="2"/>
    <x v="2"/>
    <x v="4"/>
    <x v="2"/>
    <x v="3"/>
    <x v="1"/>
    <x v="1"/>
    <n v="42.71"/>
    <n v="4"/>
    <n v="0"/>
    <n v="170.84"/>
    <n v="0"/>
    <n v="170.84"/>
    <x v="316"/>
    <n v="99.09"/>
  </r>
  <r>
    <s v="ORD-10592"/>
    <n v="45184"/>
    <x v="0"/>
    <x v="1"/>
    <x v="2"/>
    <x v="1"/>
    <x v="1"/>
    <x v="12"/>
    <x v="9"/>
    <x v="4"/>
    <x v="0"/>
    <x v="3"/>
    <s v="N/A"/>
    <n v="3"/>
    <n v="0"/>
    <n v="0"/>
    <n v="0"/>
    <n v="0"/>
    <x v="9"/>
    <e v="#VALUE!"/>
  </r>
  <r>
    <s v="ORD-10268"/>
    <n v="44636"/>
    <x v="0"/>
    <x v="0"/>
    <x v="0"/>
    <x v="0"/>
    <x v="4"/>
    <x v="13"/>
    <x v="0"/>
    <x v="4"/>
    <x v="3"/>
    <x v="2"/>
    <n v="397.14"/>
    <n v="4"/>
    <n v="0"/>
    <n v="1588.56"/>
    <n v="0"/>
    <n v="1588.56"/>
    <x v="317"/>
    <n v="603.65"/>
  </r>
  <r>
    <s v="ORD-10162"/>
    <n v="44895"/>
    <x v="0"/>
    <x v="3"/>
    <x v="7"/>
    <x v="3"/>
    <x v="2"/>
    <x v="17"/>
    <x v="0"/>
    <x v="3"/>
    <x v="1"/>
    <x v="0"/>
    <n v="123.5"/>
    <n v="1"/>
    <n v="0.15"/>
    <n v="123.5"/>
    <n v="18.524999999999999"/>
    <n v="104.97499999999999"/>
    <x v="318"/>
    <n v="60.884999999999991"/>
  </r>
  <r>
    <s v="ORD-10580"/>
    <n v="45030"/>
    <x v="0"/>
    <x v="4"/>
    <x v="10"/>
    <x v="3"/>
    <x v="1"/>
    <x v="21"/>
    <x v="8"/>
    <x v="0"/>
    <x v="0"/>
    <x v="1"/>
    <n v="271.8"/>
    <n v="4"/>
    <n v="0.15"/>
    <n v="1087.2"/>
    <n v="163.08000000000001"/>
    <n v="924.12"/>
    <x v="319"/>
    <n v="480.54"/>
  </r>
  <r>
    <s v="ORD-10671"/>
    <n v="44888"/>
    <x v="0"/>
    <x v="4"/>
    <x v="10"/>
    <x v="3"/>
    <x v="2"/>
    <x v="15"/>
    <x v="4"/>
    <x v="1"/>
    <x v="3"/>
    <x v="0"/>
    <n v="172.98"/>
    <n v="8"/>
    <n v="0"/>
    <n v="1383.84"/>
    <n v="0"/>
    <n v="1383.84"/>
    <x v="320"/>
    <n v="802.62999999999988"/>
  </r>
  <r>
    <s v="ORD-10952"/>
    <n v="45273"/>
    <x v="0"/>
    <x v="2"/>
    <x v="4"/>
    <x v="0"/>
    <x v="0"/>
    <x v="8"/>
    <x v="4"/>
    <x v="3"/>
    <x v="1"/>
    <x v="2"/>
    <n v="8.86"/>
    <n v="16"/>
    <n v="0"/>
    <n v="141.76"/>
    <n v="0"/>
    <n v="141.76"/>
    <x v="321"/>
    <n v="63.789999999999992"/>
  </r>
  <r>
    <s v="ORD-10635"/>
    <n v="44953"/>
    <x v="0"/>
    <x v="3"/>
    <x v="11"/>
    <x v="2"/>
    <x v="4"/>
    <x v="13"/>
    <x v="5"/>
    <x v="4"/>
    <x v="4"/>
    <x v="1"/>
    <n v="492.45"/>
    <n v="4"/>
    <n v="0"/>
    <n v="1969.8"/>
    <n v="0"/>
    <n v="1969.8"/>
    <x v="322"/>
    <n v="748.52"/>
  </r>
  <r>
    <s v="ORD-10778"/>
    <n v="44851"/>
    <x v="0"/>
    <x v="3"/>
    <x v="11"/>
    <x v="2"/>
    <x v="2"/>
    <x v="4"/>
    <x v="0"/>
    <x v="2"/>
    <x v="4"/>
    <x v="3"/>
    <n v="42.24"/>
    <n v="3"/>
    <n v="0.2"/>
    <n v="126.72"/>
    <n v="25.344000000000001"/>
    <n v="101.376"/>
    <x v="323"/>
    <n v="58.796000000000006"/>
  </r>
  <r>
    <s v="ORD-10295"/>
    <n v="44995"/>
    <x v="0"/>
    <x v="3"/>
    <x v="11"/>
    <x v="2"/>
    <x v="4"/>
    <x v="22"/>
    <x v="2"/>
    <x v="0"/>
    <x v="1"/>
    <x v="2"/>
    <n v="395.25"/>
    <m/>
    <n v="0"/>
    <n v="0"/>
    <n v="0"/>
    <n v="0"/>
    <x v="9"/>
    <e v="#VALUE!"/>
  </r>
  <r>
    <s v="ORD-10264"/>
    <n v="44683"/>
    <x v="0"/>
    <x v="2"/>
    <x v="6"/>
    <x v="2"/>
    <x v="0"/>
    <x v="20"/>
    <x v="8"/>
    <x v="3"/>
    <x v="2"/>
    <x v="3"/>
    <n v="21.85"/>
    <n v="17"/>
    <n v="0"/>
    <n v="371.45000000000005"/>
    <n v="0"/>
    <n v="371.45000000000005"/>
    <x v="324"/>
    <n v="167.15000000000003"/>
  </r>
  <r>
    <s v="ORD-10163"/>
    <n v="45271"/>
    <x v="0"/>
    <x v="1"/>
    <x v="1"/>
    <x v="3"/>
    <x v="2"/>
    <x v="5"/>
    <x v="4"/>
    <x v="2"/>
    <x v="1"/>
    <x v="1"/>
    <n v="79.53"/>
    <n v="7"/>
    <n v="0"/>
    <n v="556.71"/>
    <n v="0"/>
    <n v="556.71"/>
    <x v="325"/>
    <n v="322.89000000000004"/>
  </r>
  <r>
    <s v="ORD-10402"/>
    <n v="44913"/>
    <x v="0"/>
    <x v="4"/>
    <x v="14"/>
    <x v="3"/>
    <x v="0"/>
    <x v="0"/>
    <x v="4"/>
    <x v="3"/>
    <x v="1"/>
    <x v="0"/>
    <n v="13.27"/>
    <n v="28"/>
    <n v="0.1"/>
    <n v="371.56"/>
    <n v="37.155999999999999"/>
    <n v="334.404"/>
    <x v="326"/>
    <n v="150.48400000000001"/>
  </r>
  <r>
    <s v="ORD-10078"/>
    <n v="44614"/>
    <x v="0"/>
    <x v="0"/>
    <x v="0"/>
    <x v="3"/>
    <x v="3"/>
    <x v="23"/>
    <x v="0"/>
    <x v="3"/>
    <x v="3"/>
    <x v="1"/>
    <n v="20.03"/>
    <n v="8"/>
    <n v="0.2"/>
    <n v="160.24"/>
    <n v="32.048000000000002"/>
    <n v="128.19200000000001"/>
    <x v="327"/>
    <n v="79.481999999999999"/>
  </r>
  <r>
    <s v="ORD-10499"/>
    <n v="45182"/>
    <x v="0"/>
    <x v="4"/>
    <x v="13"/>
    <x v="0"/>
    <x v="0"/>
    <x v="16"/>
    <x v="10"/>
    <x v="0"/>
    <x v="1"/>
    <x v="3"/>
    <n v="10.63"/>
    <n v="20"/>
    <n v="0.15"/>
    <n v="212.60000000000002"/>
    <n v="31.89"/>
    <n v="180.71000000000004"/>
    <x v="328"/>
    <n v="81.320000000000036"/>
  </r>
  <r>
    <s v="ORD-10258"/>
    <n v="44823"/>
    <x v="0"/>
    <x v="1"/>
    <x v="1"/>
    <x v="2"/>
    <x v="2"/>
    <x v="5"/>
    <x v="11"/>
    <x v="4"/>
    <x v="0"/>
    <x v="0"/>
    <n v="81.16"/>
    <n v="5"/>
    <n v="0.05"/>
    <n v="405.79999999999995"/>
    <n v="20.29"/>
    <n v="385.50999999999993"/>
    <x v="329"/>
    <n v="223.59999999999994"/>
  </r>
  <r>
    <s v="ORD-10576"/>
    <n v="45178"/>
    <x v="0"/>
    <x v="2"/>
    <x v="6"/>
    <x v="3"/>
    <x v="4"/>
    <x v="4"/>
    <x v="11"/>
    <x v="3"/>
    <x v="4"/>
    <x v="1"/>
    <n v="52.94"/>
    <n v="5"/>
    <n v="0.2"/>
    <n v="264.7"/>
    <n v="52.94"/>
    <n v="211.76"/>
    <x v="330"/>
    <n v="80.47"/>
  </r>
  <r>
    <s v="ORD-10294"/>
    <n v="44605"/>
    <x v="0"/>
    <x v="3"/>
    <x v="7"/>
    <x v="3"/>
    <x v="0"/>
    <x v="3"/>
    <x v="10"/>
    <x v="3"/>
    <x v="0"/>
    <x v="2"/>
    <n v="22.39"/>
    <n v="30"/>
    <n v="0.1"/>
    <n v="671.7"/>
    <n v="67.17"/>
    <n v="604.53000000000009"/>
    <x v="331"/>
    <n v="272.04000000000008"/>
  </r>
  <r>
    <s v="ORD-10500"/>
    <n v="44608"/>
    <x v="0"/>
    <x v="3"/>
    <x v="11"/>
    <x v="0"/>
    <x v="3"/>
    <x v="14"/>
    <x v="5"/>
    <x v="1"/>
    <x v="3"/>
    <x v="3"/>
    <n v="8.6"/>
    <n v="4"/>
    <n v="0.15"/>
    <n v="34.4"/>
    <n v="5.1599999999999993"/>
    <n v="29.24"/>
    <x v="332"/>
    <n v="18.13"/>
  </r>
  <r>
    <s v="ORD-10455"/>
    <n v="44726"/>
    <x v="0"/>
    <x v="0"/>
    <x v="0"/>
    <x v="0"/>
    <x v="4"/>
    <x v="13"/>
    <x v="9"/>
    <x v="3"/>
    <x v="3"/>
    <x v="3"/>
    <n v="412.52"/>
    <n v="1"/>
    <n v="0.2"/>
    <n v="412.52"/>
    <n v="82.504000000000005"/>
    <n v="330.01599999999996"/>
    <x v="333"/>
    <n v="125.40599999999995"/>
  </r>
  <r>
    <s v="ORD-10870"/>
    <n v="44975"/>
    <x v="0"/>
    <x v="1"/>
    <x v="1"/>
    <x v="2"/>
    <x v="4"/>
    <x v="4"/>
    <x v="4"/>
    <x v="3"/>
    <x v="2"/>
    <x v="0"/>
    <n v="50.19"/>
    <n v="6"/>
    <n v="0.1"/>
    <n v="301.14"/>
    <n v="30.114000000000001"/>
    <n v="271.02600000000001"/>
    <x v="334"/>
    <n v="102.98600000000002"/>
  </r>
  <r>
    <s v="ORD-10721"/>
    <n v="44825"/>
    <x v="0"/>
    <x v="1"/>
    <x v="5"/>
    <x v="0"/>
    <x v="3"/>
    <x v="7"/>
    <x v="8"/>
    <x v="1"/>
    <x v="3"/>
    <x v="1"/>
    <n v="10.72"/>
    <n v="17"/>
    <n v="0.05"/>
    <n v="182.24"/>
    <n v="9.1120000000000001"/>
    <n v="173.12800000000001"/>
    <x v="335"/>
    <n v="107.33800000000001"/>
  </r>
  <r>
    <s v="ORD-10473"/>
    <n v="44643"/>
    <x v="0"/>
    <x v="3"/>
    <x v="7"/>
    <x v="1"/>
    <x v="1"/>
    <x v="1"/>
    <x v="4"/>
    <x v="2"/>
    <x v="1"/>
    <x v="0"/>
    <n v="367.91"/>
    <n v="1"/>
    <n v="0.1"/>
    <n v="367.91"/>
    <n v="36.791000000000004"/>
    <n v="331.11900000000003"/>
    <x v="336"/>
    <n v="172.17900000000003"/>
  </r>
  <r>
    <s v="ORD-10853"/>
    <n v="44918"/>
    <x v="0"/>
    <x v="4"/>
    <x v="14"/>
    <x v="3"/>
    <x v="4"/>
    <x v="13"/>
    <x v="2"/>
    <x v="3"/>
    <x v="3"/>
    <x v="3"/>
    <n v="390.65"/>
    <n v="5"/>
    <n v="0"/>
    <n v="1953.25"/>
    <n v="0"/>
    <n v="1953.25"/>
    <x v="337"/>
    <n v="742.23"/>
  </r>
  <r>
    <s v="ORD-10647"/>
    <n v="44831"/>
    <x v="0"/>
    <x v="2"/>
    <x v="4"/>
    <x v="2"/>
    <x v="4"/>
    <x v="4"/>
    <x v="5"/>
    <x v="0"/>
    <x v="3"/>
    <x v="1"/>
    <n v="42.19"/>
    <n v="4"/>
    <n v="0.05"/>
    <n v="168.76"/>
    <n v="8.4380000000000006"/>
    <n v="160.322"/>
    <x v="338"/>
    <n v="60.921999999999997"/>
  </r>
  <r>
    <s v="ORD-10253"/>
    <n v="44697"/>
    <x v="0"/>
    <x v="4"/>
    <x v="10"/>
    <x v="1"/>
    <x v="0"/>
    <x v="3"/>
    <x v="8"/>
    <x v="1"/>
    <x v="0"/>
    <x v="0"/>
    <n v="19.5"/>
    <n v="22"/>
    <n v="0.15"/>
    <n v="429"/>
    <n v="64.349999999999994"/>
    <n v="364.65"/>
    <x v="339"/>
    <n v="164.08999999999997"/>
  </r>
  <r>
    <s v="ORD-10236"/>
    <n v="44975"/>
    <x v="0"/>
    <x v="1"/>
    <x v="2"/>
    <x v="3"/>
    <x v="1"/>
    <x v="1"/>
    <x v="6"/>
    <x v="1"/>
    <x v="3"/>
    <x v="0"/>
    <n v="341.72"/>
    <n v="1"/>
    <n v="0.05"/>
    <n v="341.72"/>
    <n v="17.086000000000002"/>
    <n v="324.63400000000001"/>
    <x v="340"/>
    <n v="168.81400000000002"/>
  </r>
  <r>
    <s v="ORD-10734"/>
    <n v="45182"/>
    <x v="0"/>
    <x v="1"/>
    <x v="2"/>
    <x v="3"/>
    <x v="3"/>
    <x v="19"/>
    <x v="0"/>
    <x v="4"/>
    <x v="3"/>
    <x v="0"/>
    <n v="21.52"/>
    <n v="29"/>
    <n v="0"/>
    <n v="624.08000000000004"/>
    <n v="0"/>
    <n v="624.08000000000004"/>
    <x v="341"/>
    <n v="386.93000000000006"/>
  </r>
  <r>
    <s v="ORD-10609"/>
    <n v="45232"/>
    <x v="0"/>
    <x v="4"/>
    <x v="13"/>
    <x v="0"/>
    <x v="2"/>
    <x v="10"/>
    <x v="0"/>
    <x v="3"/>
    <x v="3"/>
    <x v="1"/>
    <n v="62.71"/>
    <n v="4"/>
    <n v="0.1"/>
    <n v="250.84"/>
    <n v="25.084000000000003"/>
    <n v="225.756"/>
    <x v="342"/>
    <n v="130.93600000000001"/>
  </r>
  <r>
    <s v="ORD-10032"/>
    <n v="44806"/>
    <x v="0"/>
    <x v="0"/>
    <x v="12"/>
    <x v="2"/>
    <x v="4"/>
    <x v="13"/>
    <x v="6"/>
    <x v="2"/>
    <x v="0"/>
    <x v="1"/>
    <n v="362.14"/>
    <n v="4"/>
    <n v="0.05"/>
    <n v="1448.56"/>
    <n v="72.427999999999997"/>
    <n v="1376.1320000000001"/>
    <x v="343"/>
    <n v="522.93200000000002"/>
  </r>
  <r>
    <s v="ORD-10804"/>
    <n v="44574"/>
    <x v="0"/>
    <x v="0"/>
    <x v="12"/>
    <x v="0"/>
    <x v="0"/>
    <x v="8"/>
    <x v="9"/>
    <x v="0"/>
    <x v="3"/>
    <x v="1"/>
    <n v="11.08"/>
    <n v="19"/>
    <n v="0.2"/>
    <n v="210.52"/>
    <n v="42.104000000000006"/>
    <n v="168.416"/>
    <x v="344"/>
    <n v="75.786000000000001"/>
  </r>
  <r>
    <s v="ORD-10039"/>
    <n v="45176"/>
    <x v="0"/>
    <x v="1"/>
    <x v="5"/>
    <x v="0"/>
    <x v="4"/>
    <x v="13"/>
    <x v="3"/>
    <x v="0"/>
    <x v="0"/>
    <x v="1"/>
    <n v="342.02"/>
    <n v="7"/>
    <n v="0.2"/>
    <n v="2394.14"/>
    <n v="478.82799999999997"/>
    <n v="1915.3119999999999"/>
    <x v="345"/>
    <n v="727.82199999999989"/>
  </r>
  <r>
    <s v="ORD-10825"/>
    <n v="45107"/>
    <x v="0"/>
    <x v="3"/>
    <x v="11"/>
    <x v="3"/>
    <x v="1"/>
    <x v="18"/>
    <x v="2"/>
    <x v="3"/>
    <x v="1"/>
    <x v="1"/>
    <s v="N/A"/>
    <n v="3"/>
    <n v="0"/>
    <n v="0"/>
    <n v="0"/>
    <n v="0"/>
    <x v="9"/>
    <e v="#VALUE!"/>
  </r>
  <r>
    <s v="ORD-10944"/>
    <n v="44586"/>
    <x v="0"/>
    <x v="3"/>
    <x v="7"/>
    <x v="2"/>
    <x v="3"/>
    <x v="6"/>
    <x v="11"/>
    <x v="3"/>
    <x v="0"/>
    <x v="3"/>
    <n v="325.58"/>
    <n v="2"/>
    <n v="0"/>
    <n v="651.16"/>
    <n v="0"/>
    <n v="651.16"/>
    <x v="346"/>
    <n v="403.71999999999997"/>
  </r>
  <r>
    <s v="ORD-10591"/>
    <n v="44842"/>
    <x v="0"/>
    <x v="1"/>
    <x v="2"/>
    <x v="0"/>
    <x v="2"/>
    <x v="5"/>
    <x v="9"/>
    <x v="1"/>
    <x v="2"/>
    <x v="1"/>
    <n v="75.989999999999995"/>
    <n v="8"/>
    <n v="0"/>
    <n v="607.91999999999996"/>
    <n v="0"/>
    <n v="607.91999999999996"/>
    <x v="347"/>
    <n v="352.58999999999992"/>
  </r>
  <r>
    <s v="ORD-10315"/>
    <n v="45133"/>
    <x v="0"/>
    <x v="0"/>
    <x v="12"/>
    <x v="3"/>
    <x v="1"/>
    <x v="2"/>
    <x v="8"/>
    <x v="0"/>
    <x v="0"/>
    <x v="3"/>
    <n v="209.06"/>
    <n v="1"/>
    <n v="0.05"/>
    <n v="209.06"/>
    <n v="10.453000000000001"/>
    <n v="198.607"/>
    <x v="348"/>
    <n v="103.277"/>
  </r>
  <r>
    <s v="ORD-10013"/>
    <n v="44673"/>
    <x v="0"/>
    <x v="4"/>
    <x v="13"/>
    <x v="0"/>
    <x v="1"/>
    <x v="18"/>
    <x v="10"/>
    <x v="4"/>
    <x v="4"/>
    <x v="1"/>
    <n v="465.77"/>
    <n v="2"/>
    <n v="0.05"/>
    <n v="931.54"/>
    <n v="46.576999999999998"/>
    <n v="884.96299999999997"/>
    <x v="349"/>
    <n v="460.18299999999999"/>
  </r>
  <r>
    <s v="ORD-10746"/>
    <n v="44596"/>
    <x v="0"/>
    <x v="0"/>
    <x v="0"/>
    <x v="0"/>
    <x v="4"/>
    <x v="4"/>
    <x v="4"/>
    <x v="0"/>
    <x v="1"/>
    <x v="3"/>
    <n v="53.77"/>
    <n v="2"/>
    <n v="0"/>
    <n v="107.54"/>
    <n v="0"/>
    <n v="107.54"/>
    <x v="350"/>
    <n v="40.870000000000005"/>
  </r>
  <r>
    <s v="ORD-10336"/>
    <n v="45075"/>
    <x v="0"/>
    <x v="0"/>
    <x v="9"/>
    <x v="3"/>
    <x v="3"/>
    <x v="6"/>
    <x v="11"/>
    <x v="3"/>
    <x v="0"/>
    <x v="1"/>
    <n v="315.75"/>
    <n v="13"/>
    <n v="0.15"/>
    <n v="4104.75"/>
    <n v="615.71249999999998"/>
    <n v="3489.0374999999999"/>
    <x v="351"/>
    <n v="2163.1975000000002"/>
  </r>
  <r>
    <s v="ORD-10718"/>
    <n v="44818"/>
    <x v="0"/>
    <x v="2"/>
    <x v="6"/>
    <x v="1"/>
    <x v="4"/>
    <x v="13"/>
    <x v="1"/>
    <x v="2"/>
    <x v="0"/>
    <x v="1"/>
    <n v="414.04"/>
    <n v="8"/>
    <n v="0"/>
    <n v="3312.32"/>
    <n v="0"/>
    <n v="3312.32"/>
    <x v="352"/>
    <n v="1258.6800000000003"/>
  </r>
  <r>
    <s v="ORD-10732"/>
    <n v="44611"/>
    <x v="0"/>
    <x v="2"/>
    <x v="4"/>
    <x v="1"/>
    <x v="0"/>
    <x v="8"/>
    <x v="3"/>
    <x v="0"/>
    <x v="0"/>
    <x v="1"/>
    <n v="9.77"/>
    <n v="6"/>
    <n v="0"/>
    <n v="58.62"/>
    <n v="0"/>
    <n v="58.62"/>
    <x v="353"/>
    <n v="26.379999999999995"/>
  </r>
  <r>
    <s v="ORD-10505"/>
    <n v="44679"/>
    <x v="0"/>
    <x v="0"/>
    <x v="9"/>
    <x v="2"/>
    <x v="3"/>
    <x v="6"/>
    <x v="3"/>
    <x v="0"/>
    <x v="2"/>
    <x v="2"/>
    <n v="324.16000000000003"/>
    <n v="8"/>
    <n v="0"/>
    <n v="2593.2800000000002"/>
    <n v="0"/>
    <n v="2593.2800000000002"/>
    <x v="354"/>
    <n v="1607.8300000000002"/>
  </r>
  <r>
    <s v="ORD-10625"/>
    <n v="45124"/>
    <x v="0"/>
    <x v="3"/>
    <x v="11"/>
    <x v="2"/>
    <x v="0"/>
    <x v="16"/>
    <x v="3"/>
    <x v="3"/>
    <x v="1"/>
    <x v="2"/>
    <n v="12.99"/>
    <n v="14"/>
    <n v="0.1"/>
    <n v="181.86"/>
    <n v="18.186000000000003"/>
    <n v="163.67400000000001"/>
    <x v="355"/>
    <n v="73.654000000000011"/>
  </r>
  <r>
    <s v="ORD-10461"/>
    <n v="45031"/>
    <x v="0"/>
    <x v="1"/>
    <x v="2"/>
    <x v="1"/>
    <x v="2"/>
    <x v="5"/>
    <x v="2"/>
    <x v="0"/>
    <x v="1"/>
    <x v="3"/>
    <n v="79.34"/>
    <n v="5"/>
    <n v="0"/>
    <n v="396.70000000000005"/>
    <n v="0"/>
    <n v="396.70000000000005"/>
    <x v="356"/>
    <n v="230.09000000000003"/>
  </r>
  <r>
    <s v="ORD-10205"/>
    <n v="44786"/>
    <x v="0"/>
    <x v="2"/>
    <x v="3"/>
    <x v="0"/>
    <x v="3"/>
    <x v="19"/>
    <x v="5"/>
    <x v="4"/>
    <x v="3"/>
    <x v="1"/>
    <n v="30.39"/>
    <n v="1"/>
    <n v="0.15"/>
    <n v="30.39"/>
    <n v="4.5584999999999996"/>
    <n v="25.831500000000002"/>
    <x v="357"/>
    <n v="16.011500000000002"/>
  </r>
  <r>
    <s v="ORD-10712"/>
    <n v="45016"/>
    <x v="0"/>
    <x v="0"/>
    <x v="12"/>
    <x v="0"/>
    <x v="0"/>
    <x v="3"/>
    <x v="4"/>
    <x v="4"/>
    <x v="3"/>
    <x v="1"/>
    <n v="20.32"/>
    <n v="17"/>
    <n v="0"/>
    <n v="345.44"/>
    <n v="0"/>
    <n v="345.44"/>
    <x v="358"/>
    <n v="155.44999999999999"/>
  </r>
  <r>
    <s v="ORD-10588"/>
    <n v="44699"/>
    <x v="0"/>
    <x v="2"/>
    <x v="4"/>
    <x v="1"/>
    <x v="1"/>
    <x v="18"/>
    <x v="2"/>
    <x v="2"/>
    <x v="1"/>
    <x v="3"/>
    <n v="395.88"/>
    <n v="5"/>
    <n v="0"/>
    <n v="1979.4"/>
    <n v="0"/>
    <n v="1979.4"/>
    <x v="359"/>
    <n v="1029.29"/>
  </r>
  <r>
    <s v="ORD-10611"/>
    <n v="44858"/>
    <x v="0"/>
    <x v="1"/>
    <x v="5"/>
    <x v="2"/>
    <x v="4"/>
    <x v="9"/>
    <x v="8"/>
    <x v="0"/>
    <x v="4"/>
    <x v="3"/>
    <n v="549.72"/>
    <n v="7"/>
    <n v="0.1"/>
    <n v="3848.04"/>
    <n v="384.80400000000003"/>
    <n v="3463.2359999999999"/>
    <x v="360"/>
    <n v="1316.0259999999998"/>
  </r>
  <r>
    <s v="ORD-10182"/>
    <n v="45272"/>
    <x v="0"/>
    <x v="4"/>
    <x v="14"/>
    <x v="0"/>
    <x v="4"/>
    <x v="9"/>
    <x v="9"/>
    <x v="1"/>
    <x v="2"/>
    <x v="1"/>
    <n v="598.21"/>
    <n v="5"/>
    <n v="0"/>
    <n v="2991.05"/>
    <n v="0"/>
    <n v="2991.05"/>
    <x v="361"/>
    <n v="1136.6000000000001"/>
  </r>
  <r>
    <s v="ORD-10046"/>
    <n v="45051"/>
    <x v="0"/>
    <x v="1"/>
    <x v="2"/>
    <x v="3"/>
    <x v="2"/>
    <x v="15"/>
    <x v="0"/>
    <x v="3"/>
    <x v="2"/>
    <x v="1"/>
    <n v="187.91"/>
    <n v="5"/>
    <n v="0"/>
    <n v="939.55"/>
    <n v="0"/>
    <n v="939.55"/>
    <x v="362"/>
    <n v="544.93999999999994"/>
  </r>
  <r>
    <s v="ORD-10800"/>
    <n v="44602"/>
    <x v="0"/>
    <x v="0"/>
    <x v="12"/>
    <x v="0"/>
    <x v="0"/>
    <x v="16"/>
    <x v="9"/>
    <x v="1"/>
    <x v="2"/>
    <x v="1"/>
    <n v="13.84"/>
    <n v="19"/>
    <n v="0.2"/>
    <n v="262.95999999999998"/>
    <n v="52.591999999999999"/>
    <n v="210.36799999999999"/>
    <x v="363"/>
    <n v="94.667999999999992"/>
  </r>
  <r>
    <s v="ORD-10335"/>
    <n v="44765"/>
    <x v="0"/>
    <x v="2"/>
    <x v="3"/>
    <x v="0"/>
    <x v="0"/>
    <x v="20"/>
    <x v="11"/>
    <x v="4"/>
    <x v="3"/>
    <x v="1"/>
    <s v="N/A"/>
    <n v="24"/>
    <n v="0"/>
    <n v="0"/>
    <n v="0"/>
    <n v="0"/>
    <x v="9"/>
    <e v="#VALUE!"/>
  </r>
  <r>
    <s v="ORD-10355"/>
    <n v="44741"/>
    <x v="0"/>
    <x v="4"/>
    <x v="14"/>
    <x v="3"/>
    <x v="3"/>
    <x v="6"/>
    <x v="10"/>
    <x v="1"/>
    <x v="1"/>
    <x v="2"/>
    <n v="352.28"/>
    <n v="29"/>
    <n v="0.2"/>
    <n v="10216.119999999999"/>
    <n v="2043.2239999999999"/>
    <n v="8172.8959999999988"/>
    <x v="364"/>
    <n v="5067.195999999999"/>
  </r>
  <r>
    <s v="ORD-10898"/>
    <n v="44759"/>
    <x v="0"/>
    <x v="3"/>
    <x v="7"/>
    <x v="2"/>
    <x v="3"/>
    <x v="14"/>
    <x v="10"/>
    <x v="1"/>
    <x v="0"/>
    <x v="0"/>
    <n v="6.87"/>
    <n v="5"/>
    <n v="0.2"/>
    <n v="34.35"/>
    <n v="6.870000000000001"/>
    <n v="27.48"/>
    <x v="365"/>
    <n v="17.04"/>
  </r>
  <r>
    <s v="ORD-10693"/>
    <n v="45217"/>
    <x v="0"/>
    <x v="4"/>
    <x v="14"/>
    <x v="2"/>
    <x v="3"/>
    <x v="14"/>
    <x v="10"/>
    <x v="3"/>
    <x v="1"/>
    <x v="1"/>
    <n v="6.8"/>
    <n v="20"/>
    <n v="0"/>
    <n v="136"/>
    <n v="0"/>
    <n v="136"/>
    <x v="366"/>
    <n v="84.32"/>
  </r>
  <r>
    <s v="ORD-10490"/>
    <n v="45102"/>
    <x v="0"/>
    <x v="2"/>
    <x v="6"/>
    <x v="1"/>
    <x v="2"/>
    <x v="15"/>
    <x v="4"/>
    <x v="4"/>
    <x v="3"/>
    <x v="0"/>
    <n v="180.64"/>
    <n v="7"/>
    <n v="0.2"/>
    <n v="1264.48"/>
    <n v="252.89600000000002"/>
    <n v="1011.5840000000001"/>
    <x v="367"/>
    <n v="586.72400000000005"/>
  </r>
  <r>
    <s v="ORD-10425"/>
    <n v="44885"/>
    <x v="0"/>
    <x v="0"/>
    <x v="12"/>
    <x v="2"/>
    <x v="3"/>
    <x v="14"/>
    <x v="3"/>
    <x v="3"/>
    <x v="0"/>
    <x v="1"/>
    <n v="7.24"/>
    <n v="10"/>
    <n v="0"/>
    <n v="72.400000000000006"/>
    <n v="0"/>
    <n v="72.400000000000006"/>
    <x v="368"/>
    <n v="44.89"/>
  </r>
  <r>
    <s v="ORD-10320"/>
    <n v="45216"/>
    <x v="0"/>
    <x v="1"/>
    <x v="1"/>
    <x v="2"/>
    <x v="0"/>
    <x v="16"/>
    <x v="2"/>
    <x v="1"/>
    <x v="3"/>
    <x v="1"/>
    <n v="13.72"/>
    <n v="27"/>
    <n v="0"/>
    <n v="370.44"/>
    <n v="0"/>
    <n v="370.44"/>
    <x v="369"/>
    <n v="166.7"/>
  </r>
  <r>
    <s v="ORD-10231"/>
    <n v="44942"/>
    <x v="0"/>
    <x v="0"/>
    <x v="0"/>
    <x v="2"/>
    <x v="3"/>
    <x v="6"/>
    <x v="0"/>
    <x v="0"/>
    <x v="2"/>
    <x v="3"/>
    <n v="332.44"/>
    <n v="7"/>
    <n v="0.1"/>
    <n v="2327.08"/>
    <n v="232.708"/>
    <n v="2094.3719999999998"/>
    <x v="370"/>
    <n v="1298.5119999999997"/>
  </r>
  <r>
    <s v="ORD-10177"/>
    <n v="44815"/>
    <x v="0"/>
    <x v="3"/>
    <x v="7"/>
    <x v="1"/>
    <x v="1"/>
    <x v="18"/>
    <x v="4"/>
    <x v="2"/>
    <x v="4"/>
    <x v="2"/>
    <n v="396.09"/>
    <n v="2"/>
    <n v="0.05"/>
    <n v="792.18"/>
    <n v="39.609000000000002"/>
    <n v="752.57099999999991"/>
    <x v="371"/>
    <n v="391.34099999999989"/>
  </r>
  <r>
    <s v="ORD-10857"/>
    <n v="44588"/>
    <x v="0"/>
    <x v="3"/>
    <x v="8"/>
    <x v="2"/>
    <x v="1"/>
    <x v="1"/>
    <x v="6"/>
    <x v="0"/>
    <x v="1"/>
    <x v="1"/>
    <n v="368.11"/>
    <n v="1"/>
    <n v="0.2"/>
    <n v="368.11"/>
    <n v="73.622"/>
    <n v="294.488"/>
    <x v="372"/>
    <n v="153.12799999999999"/>
  </r>
  <r>
    <s v="ORD-10482"/>
    <n v="45263"/>
    <x v="0"/>
    <x v="0"/>
    <x v="0"/>
    <x v="0"/>
    <x v="2"/>
    <x v="5"/>
    <x v="7"/>
    <x v="0"/>
    <x v="4"/>
    <x v="3"/>
    <n v="81.790000000000006"/>
    <n v="3"/>
    <n v="0.1"/>
    <n v="245.37"/>
    <n v="24.537000000000003"/>
    <n v="220.833"/>
    <x v="373"/>
    <n v="128.083"/>
  </r>
  <r>
    <s v="ORD-10403"/>
    <n v="44847"/>
    <x v="0"/>
    <x v="1"/>
    <x v="5"/>
    <x v="3"/>
    <x v="2"/>
    <x v="5"/>
    <x v="6"/>
    <x v="2"/>
    <x v="4"/>
    <x v="0"/>
    <n v="84.47"/>
    <n v="3"/>
    <n v="0.1"/>
    <n v="253.41"/>
    <n v="25.341000000000001"/>
    <n v="228.06899999999999"/>
    <x v="374"/>
    <n v="132.279"/>
  </r>
  <r>
    <s v="ORD-10033"/>
    <n v="45117"/>
    <x v="0"/>
    <x v="3"/>
    <x v="7"/>
    <x v="2"/>
    <x v="4"/>
    <x v="9"/>
    <x v="9"/>
    <x v="0"/>
    <x v="3"/>
    <x v="3"/>
    <s v="N/A"/>
    <n v="7"/>
    <n v="0.05"/>
    <n v="0"/>
    <n v="0"/>
    <n v="0"/>
    <x v="9"/>
    <e v="#VALUE!"/>
  </r>
  <r>
    <s v="ORD-10476"/>
    <n v="45251"/>
    <x v="0"/>
    <x v="1"/>
    <x v="1"/>
    <x v="3"/>
    <x v="0"/>
    <x v="20"/>
    <x v="11"/>
    <x v="0"/>
    <x v="2"/>
    <x v="1"/>
    <n v="24.47"/>
    <n v="15"/>
    <n v="0.15"/>
    <n v="367.04999999999995"/>
    <n v="55.05749999999999"/>
    <n v="311.99249999999995"/>
    <x v="375"/>
    <n v="140.40249999999995"/>
  </r>
  <r>
    <s v="ORD-10283"/>
    <n v="44569"/>
    <x v="0"/>
    <x v="2"/>
    <x v="4"/>
    <x v="0"/>
    <x v="4"/>
    <x v="22"/>
    <x v="11"/>
    <x v="0"/>
    <x v="1"/>
    <x v="3"/>
    <n v="354.74"/>
    <n v="2"/>
    <n v="0"/>
    <n v="709.48"/>
    <n v="0"/>
    <n v="709.48"/>
    <x v="376"/>
    <n v="269.60000000000002"/>
  </r>
  <r>
    <s v="ORD-10262"/>
    <n v="45112"/>
    <x v="0"/>
    <x v="2"/>
    <x v="6"/>
    <x v="3"/>
    <x v="4"/>
    <x v="9"/>
    <x v="4"/>
    <x v="4"/>
    <x v="4"/>
    <x v="1"/>
    <n v="639.05999999999995"/>
    <n v="7"/>
    <n v="0.15"/>
    <n v="4473.42"/>
    <n v="671.01300000000003"/>
    <n v="3802.4070000000002"/>
    <x v="377"/>
    <n v="1444.9170000000004"/>
  </r>
  <r>
    <s v="ORD-10312"/>
    <n v="45033"/>
    <x v="0"/>
    <x v="1"/>
    <x v="5"/>
    <x v="2"/>
    <x v="1"/>
    <x v="21"/>
    <x v="9"/>
    <x v="2"/>
    <x v="0"/>
    <x v="1"/>
    <n v="332.89"/>
    <n v="2"/>
    <n v="0"/>
    <n v="665.78"/>
    <n v="0"/>
    <n v="665.78"/>
    <x v="378"/>
    <n v="346.21"/>
  </r>
  <r>
    <s v="ORD-10376"/>
    <n v="45086"/>
    <x v="0"/>
    <x v="3"/>
    <x v="11"/>
    <x v="2"/>
    <x v="3"/>
    <x v="6"/>
    <x v="2"/>
    <x v="2"/>
    <x v="0"/>
    <x v="1"/>
    <n v="360.97"/>
    <n v="20"/>
    <n v="0.15"/>
    <n v="7219.4000000000005"/>
    <n v="1082.9100000000001"/>
    <n v="6136.4900000000007"/>
    <x v="379"/>
    <n v="3804.6200000000008"/>
  </r>
  <r>
    <s v="ORD-10878"/>
    <n v="45145"/>
    <x v="0"/>
    <x v="0"/>
    <x v="9"/>
    <x v="3"/>
    <x v="4"/>
    <x v="4"/>
    <x v="6"/>
    <x v="1"/>
    <x v="3"/>
    <x v="2"/>
    <n v="40.54"/>
    <n v="1"/>
    <n v="0.05"/>
    <n v="40.54"/>
    <n v="2.0270000000000001"/>
    <n v="38.512999999999998"/>
    <x v="380"/>
    <n v="14.632999999999999"/>
  </r>
  <r>
    <s v="ORD-10310"/>
    <n v="44716"/>
    <x v="0"/>
    <x v="1"/>
    <x v="1"/>
    <x v="1"/>
    <x v="1"/>
    <x v="12"/>
    <x v="9"/>
    <x v="2"/>
    <x v="4"/>
    <x v="1"/>
    <n v="158.03"/>
    <n v="1"/>
    <n v="0"/>
    <n v="158.03"/>
    <n v="0"/>
    <n v="158.03"/>
    <x v="381"/>
    <n v="82.18"/>
  </r>
  <r>
    <s v="ORD-10717"/>
    <n v="44952"/>
    <x v="0"/>
    <x v="3"/>
    <x v="11"/>
    <x v="3"/>
    <x v="1"/>
    <x v="1"/>
    <x v="11"/>
    <x v="2"/>
    <x v="0"/>
    <x v="1"/>
    <n v="440.24"/>
    <n v="5"/>
    <n v="0"/>
    <n v="2201.1999999999998"/>
    <n v="0"/>
    <n v="2201.1999999999998"/>
    <x v="382"/>
    <n v="1144.6199999999999"/>
  </r>
  <r>
    <s v="ORD-10889"/>
    <n v="45258"/>
    <x v="0"/>
    <x v="2"/>
    <x v="6"/>
    <x v="1"/>
    <x v="2"/>
    <x v="4"/>
    <x v="6"/>
    <x v="4"/>
    <x v="4"/>
    <x v="1"/>
    <n v="42.67"/>
    <n v="3"/>
    <n v="0.2"/>
    <n v="128.01"/>
    <n v="25.602"/>
    <n v="102.40799999999999"/>
    <x v="383"/>
    <n v="59.397999999999989"/>
  </r>
  <r>
    <s v="ORD-10331"/>
    <n v="45193"/>
    <x v="0"/>
    <x v="3"/>
    <x v="11"/>
    <x v="0"/>
    <x v="1"/>
    <x v="21"/>
    <x v="11"/>
    <x v="4"/>
    <x v="1"/>
    <x v="3"/>
    <n v="264.58999999999997"/>
    <n v="2"/>
    <n v="0"/>
    <n v="529.17999999999995"/>
    <n v="0"/>
    <n v="529.17999999999995"/>
    <x v="384"/>
    <n v="275.16999999999996"/>
  </r>
  <r>
    <s v="ORD-10729"/>
    <n v="44697"/>
    <x v="0"/>
    <x v="2"/>
    <x v="4"/>
    <x v="3"/>
    <x v="2"/>
    <x v="15"/>
    <x v="2"/>
    <x v="4"/>
    <x v="4"/>
    <x v="3"/>
    <n v="181.57"/>
    <n v="2"/>
    <n v="0"/>
    <n v="363.14"/>
    <n v="0"/>
    <n v="363.14"/>
    <x v="385"/>
    <n v="210.61999999999998"/>
  </r>
  <r>
    <s v="ORD-10259"/>
    <n v="45100"/>
    <x v="0"/>
    <x v="4"/>
    <x v="13"/>
    <x v="1"/>
    <x v="0"/>
    <x v="20"/>
    <x v="3"/>
    <x v="4"/>
    <x v="4"/>
    <x v="0"/>
    <n v="19.510000000000002"/>
    <n v="8"/>
    <n v="0"/>
    <n v="156.08000000000001"/>
    <n v="0"/>
    <n v="156.08000000000001"/>
    <x v="386"/>
    <n v="70.240000000000009"/>
  </r>
  <r>
    <s v="ORD-10128"/>
    <n v="44664"/>
    <x v="0"/>
    <x v="3"/>
    <x v="7"/>
    <x v="3"/>
    <x v="2"/>
    <x v="10"/>
    <x v="4"/>
    <x v="4"/>
    <x v="2"/>
    <x v="0"/>
    <n v="55.7"/>
    <n v="8"/>
    <n v="0.05"/>
    <n v="445.6"/>
    <n v="22.28"/>
    <n v="423.32000000000005"/>
    <x v="387"/>
    <n v="245.53000000000006"/>
  </r>
  <r>
    <s v="ORD-10740"/>
    <n v="44861"/>
    <x v="0"/>
    <x v="3"/>
    <x v="7"/>
    <x v="2"/>
    <x v="2"/>
    <x v="4"/>
    <x v="2"/>
    <x v="3"/>
    <x v="4"/>
    <x v="1"/>
    <n v="42.19"/>
    <n v="5"/>
    <n v="0.05"/>
    <n v="210.95"/>
    <n v="10.547499999999999"/>
    <n v="200.40249999999997"/>
    <x v="388"/>
    <n v="116.23249999999997"/>
  </r>
  <r>
    <s v="ORD-10608"/>
    <n v="44932"/>
    <x v="0"/>
    <x v="2"/>
    <x v="4"/>
    <x v="1"/>
    <x v="0"/>
    <x v="3"/>
    <x v="6"/>
    <x v="2"/>
    <x v="1"/>
    <x v="0"/>
    <n v="15.93"/>
    <n v="4"/>
    <n v="0"/>
    <n v="63.72"/>
    <n v="0"/>
    <n v="63.72"/>
    <x v="389"/>
    <n v="28.67"/>
  </r>
  <r>
    <s v="ORD-10306"/>
    <n v="45014"/>
    <x v="0"/>
    <x v="0"/>
    <x v="12"/>
    <x v="3"/>
    <x v="2"/>
    <x v="17"/>
    <x v="5"/>
    <x v="2"/>
    <x v="2"/>
    <x v="1"/>
    <s v="N/A"/>
    <n v="8"/>
    <n v="0.1"/>
    <n v="0"/>
    <n v="0"/>
    <n v="0"/>
    <x v="9"/>
    <e v="#VALUE!"/>
  </r>
  <r>
    <s v="ORD-10368"/>
    <n v="44742"/>
    <x v="0"/>
    <x v="0"/>
    <x v="12"/>
    <x v="1"/>
    <x v="4"/>
    <x v="22"/>
    <x v="0"/>
    <x v="3"/>
    <x v="4"/>
    <x v="1"/>
    <n v="387.8"/>
    <n v="1"/>
    <n v="0"/>
    <n v="387.8"/>
    <n v="0"/>
    <n v="387.8"/>
    <x v="390"/>
    <n v="147.36000000000001"/>
  </r>
  <r>
    <s v="ORD-10737"/>
    <n v="45285"/>
    <x v="0"/>
    <x v="0"/>
    <x v="9"/>
    <x v="2"/>
    <x v="2"/>
    <x v="10"/>
    <x v="8"/>
    <x v="3"/>
    <x v="0"/>
    <x v="1"/>
    <n v="67.63"/>
    <n v="1"/>
    <n v="0"/>
    <n v="67.63"/>
    <n v="0"/>
    <n v="67.63"/>
    <x v="391"/>
    <n v="39.229999999999997"/>
  </r>
  <r>
    <s v="ORD-10339"/>
    <n v="44888"/>
    <x v="0"/>
    <x v="3"/>
    <x v="7"/>
    <x v="2"/>
    <x v="3"/>
    <x v="6"/>
    <x v="8"/>
    <x v="2"/>
    <x v="1"/>
    <x v="1"/>
    <n v="288.83999999999997"/>
    <n v="1"/>
    <n v="0.2"/>
    <n v="288.83999999999997"/>
    <n v="57.768000000000001"/>
    <n v="231.07199999999997"/>
    <x v="392"/>
    <n v="143.26199999999997"/>
  </r>
  <r>
    <s v="ORD-10713"/>
    <n v="44848"/>
    <x v="0"/>
    <x v="1"/>
    <x v="2"/>
    <x v="2"/>
    <x v="1"/>
    <x v="18"/>
    <x v="6"/>
    <x v="2"/>
    <x v="3"/>
    <x v="1"/>
    <n v="449.53"/>
    <n v="3"/>
    <n v="0"/>
    <n v="1348.59"/>
    <n v="0"/>
    <n v="1348.59"/>
    <x v="393"/>
    <n v="701.26999999999987"/>
  </r>
  <r>
    <s v="ORD-10373"/>
    <n v="44702"/>
    <x v="0"/>
    <x v="3"/>
    <x v="7"/>
    <x v="1"/>
    <x v="0"/>
    <x v="16"/>
    <x v="1"/>
    <x v="4"/>
    <x v="4"/>
    <x v="0"/>
    <n v="12.85"/>
    <n v="15"/>
    <n v="0.05"/>
    <n v="192.75"/>
    <n v="9.6375000000000011"/>
    <n v="183.11250000000001"/>
    <x v="394"/>
    <n v="82.402500000000018"/>
  </r>
  <r>
    <s v="ORD-10354"/>
    <n v="45214"/>
    <x v="0"/>
    <x v="4"/>
    <x v="13"/>
    <x v="0"/>
    <x v="1"/>
    <x v="12"/>
    <x v="7"/>
    <x v="1"/>
    <x v="0"/>
    <x v="1"/>
    <n v="161.94999999999999"/>
    <n v="2"/>
    <n v="0.15"/>
    <n v="323.89999999999998"/>
    <n v="48.584999999999994"/>
    <n v="275.315"/>
    <x v="395"/>
    <n v="143.16499999999999"/>
  </r>
  <r>
    <s v="ORD-10309"/>
    <n v="45279"/>
    <x v="0"/>
    <x v="2"/>
    <x v="3"/>
    <x v="2"/>
    <x v="1"/>
    <x v="12"/>
    <x v="11"/>
    <x v="4"/>
    <x v="2"/>
    <x v="0"/>
    <n v="129.41"/>
    <n v="2"/>
    <n v="0"/>
    <n v="258.82"/>
    <n v="0"/>
    <n v="258.82"/>
    <x v="396"/>
    <n v="134.58999999999997"/>
  </r>
  <r>
    <s v="ORD-10651"/>
    <n v="45016"/>
    <x v="0"/>
    <x v="2"/>
    <x v="4"/>
    <x v="1"/>
    <x v="4"/>
    <x v="13"/>
    <x v="9"/>
    <x v="4"/>
    <x v="1"/>
    <x v="2"/>
    <n v="358.32"/>
    <n v="8"/>
    <n v="0"/>
    <n v="2866.56"/>
    <n v="0"/>
    <n v="2866.56"/>
    <x v="397"/>
    <n v="1089.29"/>
  </r>
  <r>
    <s v="ORD-10719"/>
    <n v="44785"/>
    <x v="0"/>
    <x v="3"/>
    <x v="8"/>
    <x v="2"/>
    <x v="0"/>
    <x v="20"/>
    <x v="7"/>
    <x v="3"/>
    <x v="3"/>
    <x v="1"/>
    <n v="22.58"/>
    <n v="9"/>
    <n v="0.2"/>
    <n v="203.21999999999997"/>
    <n v="40.643999999999998"/>
    <n v="162.57599999999996"/>
    <x v="398"/>
    <n v="73.155999999999963"/>
  </r>
  <r>
    <s v="ORD-10877"/>
    <n v="45268"/>
    <x v="0"/>
    <x v="4"/>
    <x v="13"/>
    <x v="0"/>
    <x v="4"/>
    <x v="11"/>
    <x v="5"/>
    <x v="0"/>
    <x v="2"/>
    <x v="1"/>
    <n v="779.4"/>
    <n v="5"/>
    <n v="0.15"/>
    <n v="3897"/>
    <n v="584.54999999999995"/>
    <n v="3312.45"/>
    <x v="399"/>
    <n v="1258.73"/>
  </r>
  <r>
    <s v="ORD-10634"/>
    <n v="44969"/>
    <x v="0"/>
    <x v="2"/>
    <x v="6"/>
    <x v="2"/>
    <x v="3"/>
    <x v="6"/>
    <x v="8"/>
    <x v="2"/>
    <x v="1"/>
    <x v="3"/>
    <n v="314.41000000000003"/>
    <n v="29"/>
    <n v="0.15"/>
    <n v="9117.8900000000012"/>
    <n v="1367.6835000000001"/>
    <n v="7750.2065000000011"/>
    <x v="400"/>
    <n v="4805.1265000000012"/>
  </r>
  <r>
    <s v="ORD-10697"/>
    <n v="44605"/>
    <x v="0"/>
    <x v="0"/>
    <x v="9"/>
    <x v="3"/>
    <x v="2"/>
    <x v="15"/>
    <x v="7"/>
    <x v="1"/>
    <x v="1"/>
    <x v="1"/>
    <n v="158.33000000000001"/>
    <n v="7"/>
    <n v="0.1"/>
    <n v="1108.3100000000002"/>
    <n v="110.83100000000002"/>
    <n v="997.47900000000016"/>
    <x v="401"/>
    <n v="578.53900000000021"/>
  </r>
  <r>
    <s v="ORD-10472"/>
    <n v="45190"/>
    <x v="0"/>
    <x v="4"/>
    <x v="14"/>
    <x v="3"/>
    <x v="2"/>
    <x v="10"/>
    <x v="11"/>
    <x v="3"/>
    <x v="0"/>
    <x v="2"/>
    <n v="61"/>
    <n v="3"/>
    <n v="0.05"/>
    <n v="183"/>
    <n v="9.15"/>
    <n v="173.85"/>
    <x v="402"/>
    <n v="100.83"/>
  </r>
  <r>
    <s v="ORD-10008"/>
    <n v="44670"/>
    <x v="0"/>
    <x v="0"/>
    <x v="0"/>
    <x v="2"/>
    <x v="0"/>
    <x v="8"/>
    <x v="6"/>
    <x v="4"/>
    <x v="0"/>
    <x v="1"/>
    <n v="10.9"/>
    <n v="16"/>
    <n v="0"/>
    <n v="174.4"/>
    <n v="0"/>
    <n v="174.4"/>
    <x v="403"/>
    <n v="78.48"/>
  </r>
  <r>
    <s v="ORD-10279"/>
    <n v="44786"/>
    <x v="0"/>
    <x v="3"/>
    <x v="11"/>
    <x v="3"/>
    <x v="1"/>
    <x v="18"/>
    <x v="5"/>
    <x v="3"/>
    <x v="3"/>
    <x v="1"/>
    <n v="512.85"/>
    <n v="6"/>
    <n v="0.05"/>
    <n v="3077.1000000000004"/>
    <n v="153.85500000000002"/>
    <n v="2923.2450000000003"/>
    <x v="404"/>
    <n v="1520.0850000000003"/>
  </r>
  <r>
    <s v="ORD-10401"/>
    <n v="44701"/>
    <x v="0"/>
    <x v="3"/>
    <x v="11"/>
    <x v="2"/>
    <x v="1"/>
    <x v="12"/>
    <x v="7"/>
    <x v="4"/>
    <x v="0"/>
    <x v="1"/>
    <n v="157.76"/>
    <n v="1"/>
    <n v="0"/>
    <n v="157.76"/>
    <n v="0"/>
    <n v="157.76"/>
    <x v="405"/>
    <n v="82.039999999999992"/>
  </r>
  <r>
    <s v="ORD-10658"/>
    <n v="44962"/>
    <x v="0"/>
    <x v="1"/>
    <x v="1"/>
    <x v="1"/>
    <x v="4"/>
    <x v="4"/>
    <x v="0"/>
    <x v="0"/>
    <x v="2"/>
    <x v="1"/>
    <n v="45"/>
    <n v="6"/>
    <n v="0.15"/>
    <n v="270"/>
    <n v="40.5"/>
    <n v="229.5"/>
    <x v="406"/>
    <n v="87.210000000000008"/>
  </r>
  <r>
    <s v="ORD-10277"/>
    <n v="44900"/>
    <x v="0"/>
    <x v="1"/>
    <x v="1"/>
    <x v="1"/>
    <x v="2"/>
    <x v="15"/>
    <x v="6"/>
    <x v="3"/>
    <x v="1"/>
    <x v="3"/>
    <n v="137.44"/>
    <n v="1"/>
    <n v="0"/>
    <n v="137.44"/>
    <n v="0"/>
    <n v="137.44"/>
    <x v="407"/>
    <n v="79.72"/>
  </r>
  <r>
    <s v="ORD-10934"/>
    <n v="45094"/>
    <x v="0"/>
    <x v="1"/>
    <x v="5"/>
    <x v="0"/>
    <x v="4"/>
    <x v="13"/>
    <x v="3"/>
    <x v="4"/>
    <x v="1"/>
    <x v="3"/>
    <n v="418.27"/>
    <n v="6"/>
    <n v="0.15"/>
    <n v="2509.62"/>
    <n v="376.44299999999998"/>
    <n v="2133.1769999999997"/>
    <x v="408"/>
    <n v="810.60699999999974"/>
  </r>
  <r>
    <s v="ORD-10319"/>
    <n v="44959"/>
    <x v="0"/>
    <x v="3"/>
    <x v="11"/>
    <x v="2"/>
    <x v="0"/>
    <x v="8"/>
    <x v="7"/>
    <x v="1"/>
    <x v="0"/>
    <x v="1"/>
    <n v="8.5500000000000007"/>
    <n v="30"/>
    <n v="0"/>
    <n v="256.5"/>
    <n v="0"/>
    <n v="256.5"/>
    <x v="409"/>
    <n v="115.41999999999999"/>
  </r>
  <r>
    <s v="ORD-10220"/>
    <n v="44665"/>
    <x v="0"/>
    <x v="0"/>
    <x v="0"/>
    <x v="1"/>
    <x v="3"/>
    <x v="6"/>
    <x v="7"/>
    <x v="0"/>
    <x v="4"/>
    <x v="0"/>
    <n v="276.8"/>
    <n v="9"/>
    <n v="0.05"/>
    <n v="2491.2000000000003"/>
    <n v="124.56000000000002"/>
    <n v="2366.6400000000003"/>
    <x v="410"/>
    <n v="1467.3200000000002"/>
  </r>
  <r>
    <s v="ORD-10498"/>
    <n v="44852"/>
    <x v="0"/>
    <x v="4"/>
    <x v="13"/>
    <x v="2"/>
    <x v="2"/>
    <x v="10"/>
    <x v="0"/>
    <x v="3"/>
    <x v="0"/>
    <x v="1"/>
    <n v="55.94"/>
    <n v="5"/>
    <n v="0.1"/>
    <n v="279.7"/>
    <n v="27.97"/>
    <n v="251.73"/>
    <x v="411"/>
    <n v="146"/>
  </r>
  <r>
    <s v="ORD-10137"/>
    <n v="44584"/>
    <x v="0"/>
    <x v="3"/>
    <x v="7"/>
    <x v="0"/>
    <x v="4"/>
    <x v="9"/>
    <x v="1"/>
    <x v="1"/>
    <x v="2"/>
    <x v="2"/>
    <n v="678.09"/>
    <n v="1"/>
    <n v="0"/>
    <n v="678.09"/>
    <n v="0"/>
    <n v="678.09"/>
    <x v="412"/>
    <n v="257.67"/>
  </r>
  <r>
    <s v="ORD-10759"/>
    <n v="44708"/>
    <x v="0"/>
    <x v="4"/>
    <x v="14"/>
    <x v="1"/>
    <x v="4"/>
    <x v="13"/>
    <x v="0"/>
    <x v="1"/>
    <x v="1"/>
    <x v="0"/>
    <n v="408.06"/>
    <n v="8"/>
    <n v="0"/>
    <n v="3264.48"/>
    <n v="0"/>
    <n v="3264.48"/>
    <x v="413"/>
    <n v="1240.5"/>
  </r>
  <r>
    <s v="ORD-10980"/>
    <n v="45247"/>
    <x v="0"/>
    <x v="3"/>
    <x v="7"/>
    <x v="0"/>
    <x v="0"/>
    <x v="3"/>
    <x v="10"/>
    <x v="2"/>
    <x v="3"/>
    <x v="0"/>
    <n v="19.850000000000001"/>
    <n v="11"/>
    <n v="0.1"/>
    <n v="218.35000000000002"/>
    <n v="21.835000000000004"/>
    <n v="196.51500000000001"/>
    <x v="414"/>
    <n v="88.435000000000016"/>
  </r>
  <r>
    <s v="ORD-10720"/>
    <n v="44740"/>
    <x v="0"/>
    <x v="4"/>
    <x v="10"/>
    <x v="1"/>
    <x v="4"/>
    <x v="9"/>
    <x v="0"/>
    <x v="1"/>
    <x v="1"/>
    <x v="3"/>
    <n v="649.16999999999996"/>
    <n v="1"/>
    <n v="0.1"/>
    <n v="649.16999999999996"/>
    <n v="64.917000000000002"/>
    <n v="584.25299999999993"/>
    <x v="415"/>
    <n v="222.01299999999992"/>
  </r>
  <r>
    <s v="ORD-10846"/>
    <n v="45044"/>
    <x v="0"/>
    <x v="4"/>
    <x v="10"/>
    <x v="3"/>
    <x v="2"/>
    <x v="17"/>
    <x v="0"/>
    <x v="3"/>
    <x v="3"/>
    <x v="2"/>
    <n v="96.6"/>
    <n v="6"/>
    <n v="0"/>
    <n v="579.59999999999991"/>
    <n v="0"/>
    <n v="579.59999999999991"/>
    <x v="416"/>
    <n v="336.1699999999999"/>
  </r>
  <r>
    <s v="ORD-10677"/>
    <n v="44786"/>
    <x v="0"/>
    <x v="1"/>
    <x v="2"/>
    <x v="2"/>
    <x v="4"/>
    <x v="22"/>
    <x v="7"/>
    <x v="4"/>
    <x v="2"/>
    <x v="0"/>
    <n v="336.06"/>
    <n v="7"/>
    <n v="0.05"/>
    <n v="2352.42"/>
    <n v="117.62100000000001"/>
    <n v="2234.799"/>
    <x v="417"/>
    <n v="849.21900000000005"/>
  </r>
  <r>
    <s v="ORD-10020"/>
    <n v="45265"/>
    <x v="0"/>
    <x v="0"/>
    <x v="0"/>
    <x v="2"/>
    <x v="2"/>
    <x v="17"/>
    <x v="11"/>
    <x v="1"/>
    <x v="4"/>
    <x v="1"/>
    <n v="93.66"/>
    <n v="3"/>
    <n v="0.15"/>
    <n v="280.98"/>
    <n v="42.146999999999998"/>
    <n v="238.83300000000003"/>
    <x v="418"/>
    <n v="138.52300000000002"/>
  </r>
  <r>
    <s v="ORD-10304"/>
    <n v="44852"/>
    <x v="0"/>
    <x v="3"/>
    <x v="11"/>
    <x v="0"/>
    <x v="1"/>
    <x v="1"/>
    <x v="3"/>
    <x v="4"/>
    <x v="2"/>
    <x v="1"/>
    <n v="453.78"/>
    <n v="6"/>
    <n v="0.2"/>
    <n v="2722.68"/>
    <n v="544.53599999999994"/>
    <n v="2178.1439999999998"/>
    <x v="419"/>
    <n v="1132.6339999999998"/>
  </r>
  <r>
    <s v="ORD-10386"/>
    <n v="44767"/>
    <x v="0"/>
    <x v="2"/>
    <x v="3"/>
    <x v="3"/>
    <x v="1"/>
    <x v="21"/>
    <x v="0"/>
    <x v="4"/>
    <x v="3"/>
    <x v="2"/>
    <n v="317.72000000000003"/>
    <n v="2"/>
    <n v="0.05"/>
    <n v="635.44000000000005"/>
    <n v="31.772000000000006"/>
    <n v="603.66800000000001"/>
    <x v="420"/>
    <n v="313.90800000000002"/>
  </r>
  <r>
    <s v="ORD-10969"/>
    <n v="44583"/>
    <x v="0"/>
    <x v="2"/>
    <x v="4"/>
    <x v="3"/>
    <x v="4"/>
    <x v="4"/>
    <x v="5"/>
    <x v="4"/>
    <x v="2"/>
    <x v="2"/>
    <n v="53.49"/>
    <n v="4"/>
    <n v="0.2"/>
    <n v="213.96"/>
    <n v="42.792000000000002"/>
    <n v="171.16800000000001"/>
    <x v="421"/>
    <n v="65.038000000000011"/>
  </r>
  <r>
    <s v="ORD-10615"/>
    <n v="44742"/>
    <x v="0"/>
    <x v="0"/>
    <x v="9"/>
    <x v="3"/>
    <x v="0"/>
    <x v="8"/>
    <x v="0"/>
    <x v="0"/>
    <x v="0"/>
    <x v="3"/>
    <n v="11.77"/>
    <n v="8"/>
    <n v="0"/>
    <n v="94.16"/>
    <n v="0"/>
    <n v="94.16"/>
    <x v="422"/>
    <n v="42.37"/>
  </r>
  <r>
    <s v="ORD-10290"/>
    <n v="45087"/>
    <x v="0"/>
    <x v="0"/>
    <x v="0"/>
    <x v="1"/>
    <x v="0"/>
    <x v="3"/>
    <x v="8"/>
    <x v="0"/>
    <x v="4"/>
    <x v="0"/>
    <n v="20.84"/>
    <n v="25"/>
    <n v="0"/>
    <n v="521"/>
    <n v="0"/>
    <n v="521"/>
    <x v="423"/>
    <n v="234.45"/>
  </r>
  <r>
    <s v="ORD-10508"/>
    <n v="45084"/>
    <x v="0"/>
    <x v="0"/>
    <x v="9"/>
    <x v="1"/>
    <x v="1"/>
    <x v="18"/>
    <x v="1"/>
    <x v="1"/>
    <x v="0"/>
    <x v="1"/>
    <n v="508.22"/>
    <n v="3"/>
    <n v="0.15"/>
    <n v="1524.66"/>
    <n v="228.69900000000001"/>
    <n v="1295.961"/>
    <x v="424"/>
    <n v="673.90100000000007"/>
  </r>
  <r>
    <s v="ORD-10071"/>
    <n v="44583"/>
    <x v="0"/>
    <x v="1"/>
    <x v="1"/>
    <x v="3"/>
    <x v="1"/>
    <x v="1"/>
    <x v="1"/>
    <x v="4"/>
    <x v="2"/>
    <x v="0"/>
    <n v="412.13"/>
    <n v="4"/>
    <n v="0"/>
    <n v="1648.52"/>
    <n v="0"/>
    <n v="1648.52"/>
    <x v="425"/>
    <n v="857.23"/>
  </r>
  <r>
    <s v="ORD-10886"/>
    <n v="45036"/>
    <x v="0"/>
    <x v="0"/>
    <x v="12"/>
    <x v="3"/>
    <x v="3"/>
    <x v="6"/>
    <x v="5"/>
    <x v="3"/>
    <x v="1"/>
    <x v="1"/>
    <n v="363.21"/>
    <n v="19"/>
    <n v="0"/>
    <n v="6900.99"/>
    <n v="0"/>
    <n v="6900.99"/>
    <x v="426"/>
    <n v="4278.6099999999997"/>
  </r>
  <r>
    <s v="ORD-10648"/>
    <n v="44776"/>
    <x v="0"/>
    <x v="4"/>
    <x v="10"/>
    <x v="0"/>
    <x v="0"/>
    <x v="20"/>
    <x v="2"/>
    <x v="2"/>
    <x v="2"/>
    <x v="1"/>
    <n v="23.12"/>
    <n v="28"/>
    <n v="0"/>
    <n v="647.36"/>
    <n v="0"/>
    <n v="647.36"/>
    <x v="427"/>
    <n v="291.31"/>
  </r>
  <r>
    <s v="ORD-10089"/>
    <n v="44604"/>
    <x v="0"/>
    <x v="3"/>
    <x v="11"/>
    <x v="2"/>
    <x v="1"/>
    <x v="12"/>
    <x v="1"/>
    <x v="0"/>
    <x v="3"/>
    <x v="1"/>
    <n v="144.22999999999999"/>
    <n v="6"/>
    <n v="0.15"/>
    <n v="865.37999999999988"/>
    <n v="129.80699999999999"/>
    <n v="735.57299999999987"/>
    <x v="428"/>
    <n v="382.50299999999987"/>
  </r>
  <r>
    <s v="ORD-10394"/>
    <n v="44685"/>
    <x v="0"/>
    <x v="2"/>
    <x v="4"/>
    <x v="0"/>
    <x v="1"/>
    <x v="12"/>
    <x v="6"/>
    <x v="1"/>
    <x v="3"/>
    <x v="1"/>
    <n v="122.54"/>
    <n v="5"/>
    <n v="0"/>
    <n v="612.70000000000005"/>
    <n v="0"/>
    <n v="612.70000000000005"/>
    <x v="429"/>
    <n v="318.60000000000002"/>
  </r>
  <r>
    <s v="ORD-10797"/>
    <n v="44807"/>
    <x v="0"/>
    <x v="4"/>
    <x v="14"/>
    <x v="3"/>
    <x v="1"/>
    <x v="12"/>
    <x v="5"/>
    <x v="2"/>
    <x v="2"/>
    <x v="1"/>
    <n v="151.35"/>
    <n v="8"/>
    <n v="0"/>
    <n v="1210.8"/>
    <n v="0"/>
    <n v="1210.8"/>
    <x v="430"/>
    <n v="629.62"/>
  </r>
  <r>
    <s v="ORD-10775"/>
    <n v="45173"/>
    <x v="0"/>
    <x v="2"/>
    <x v="6"/>
    <x v="0"/>
    <x v="0"/>
    <x v="0"/>
    <x v="5"/>
    <x v="2"/>
    <x v="2"/>
    <x v="1"/>
    <n v="17.510000000000002"/>
    <n v="5"/>
    <n v="0.2"/>
    <n v="87.550000000000011"/>
    <n v="17.510000000000002"/>
    <n v="70.040000000000006"/>
    <x v="431"/>
    <n v="31.520000000000003"/>
  </r>
  <r>
    <s v="ORD-10037"/>
    <n v="44582"/>
    <x v="0"/>
    <x v="2"/>
    <x v="6"/>
    <x v="1"/>
    <x v="1"/>
    <x v="1"/>
    <x v="10"/>
    <x v="1"/>
    <x v="3"/>
    <x v="1"/>
    <n v="429.32"/>
    <n v="6"/>
    <n v="0"/>
    <n v="2575.92"/>
    <n v="0"/>
    <n v="2575.92"/>
    <x v="432"/>
    <n v="1339.48"/>
  </r>
  <r>
    <s v="ORD-10375"/>
    <n v="44848"/>
    <x v="0"/>
    <x v="3"/>
    <x v="11"/>
    <x v="2"/>
    <x v="4"/>
    <x v="22"/>
    <x v="1"/>
    <x v="1"/>
    <x v="1"/>
    <x v="2"/>
    <n v="393.27"/>
    <n v="5"/>
    <n v="0.1"/>
    <n v="1966.35"/>
    <n v="196.63499999999999"/>
    <n v="1769.7149999999999"/>
    <x v="433"/>
    <n v="672.4849999999999"/>
  </r>
  <r>
    <s v="ORD-10681"/>
    <n v="45025"/>
    <x v="0"/>
    <x v="3"/>
    <x v="11"/>
    <x v="1"/>
    <x v="3"/>
    <x v="7"/>
    <x v="7"/>
    <x v="0"/>
    <x v="0"/>
    <x v="1"/>
    <n v="10.27"/>
    <n v="12"/>
    <n v="0"/>
    <n v="123.24"/>
    <n v="0"/>
    <n v="123.24"/>
    <x v="434"/>
    <n v="76.41"/>
  </r>
  <r>
    <s v="ORD-10715"/>
    <n v="44950"/>
    <x v="0"/>
    <x v="4"/>
    <x v="10"/>
    <x v="0"/>
    <x v="2"/>
    <x v="4"/>
    <x v="11"/>
    <x v="2"/>
    <x v="2"/>
    <x v="0"/>
    <n v="55.12"/>
    <n v="6"/>
    <n v="0.2"/>
    <n v="330.71999999999997"/>
    <n v="66.143999999999991"/>
    <n v="264.57599999999996"/>
    <x v="435"/>
    <n v="153.45599999999996"/>
  </r>
  <r>
    <s v="ORD-10951"/>
    <n v="44711"/>
    <x v="0"/>
    <x v="1"/>
    <x v="1"/>
    <x v="0"/>
    <x v="3"/>
    <x v="6"/>
    <x v="7"/>
    <x v="0"/>
    <x v="0"/>
    <x v="1"/>
    <n v="389.67"/>
    <n v="28"/>
    <n v="0.05"/>
    <n v="10910.76"/>
    <n v="545.53800000000001"/>
    <n v="10365.222"/>
    <x v="436"/>
    <n v="6426.4419999999991"/>
  </r>
  <r>
    <s v="ORD-10584"/>
    <n v="45222"/>
    <x v="0"/>
    <x v="3"/>
    <x v="7"/>
    <x v="3"/>
    <x v="0"/>
    <x v="0"/>
    <x v="0"/>
    <x v="2"/>
    <x v="2"/>
    <x v="3"/>
    <n v="15.18"/>
    <n v="23"/>
    <n v="0"/>
    <n v="349.14"/>
    <n v="0"/>
    <n v="349.14"/>
    <x v="437"/>
    <n v="157.10999999999999"/>
  </r>
  <r>
    <s v="ORD-10351"/>
    <n v="44628"/>
    <x v="0"/>
    <x v="0"/>
    <x v="12"/>
    <x v="1"/>
    <x v="1"/>
    <x v="2"/>
    <x v="8"/>
    <x v="2"/>
    <x v="0"/>
    <x v="0"/>
    <n v="233.17"/>
    <n v="4"/>
    <n v="0.1"/>
    <n v="932.68"/>
    <n v="93.268000000000001"/>
    <n v="839.41199999999992"/>
    <x v="438"/>
    <n v="436.4919999999999"/>
  </r>
  <r>
    <s v="ORD-10963"/>
    <n v="44948"/>
    <x v="0"/>
    <x v="4"/>
    <x v="14"/>
    <x v="3"/>
    <x v="1"/>
    <x v="1"/>
    <x v="2"/>
    <x v="2"/>
    <x v="4"/>
    <x v="1"/>
    <n v="431.67"/>
    <n v="4"/>
    <n v="0.05"/>
    <n v="1726.68"/>
    <n v="86.334000000000003"/>
    <n v="1640.346"/>
    <x v="439"/>
    <n v="852.976"/>
  </r>
  <r>
    <s v="ORD-10706"/>
    <n v="44831"/>
    <x v="0"/>
    <x v="1"/>
    <x v="2"/>
    <x v="3"/>
    <x v="3"/>
    <x v="6"/>
    <x v="7"/>
    <x v="4"/>
    <x v="0"/>
    <x v="1"/>
    <n v="298.14"/>
    <n v="27"/>
    <n v="0.15"/>
    <n v="8049.78"/>
    <n v="1207.4669999999999"/>
    <n v="6842.3130000000001"/>
    <x v="440"/>
    <n v="4242.2330000000002"/>
  </r>
  <r>
    <s v="ORD-10803"/>
    <n v="45048"/>
    <x v="0"/>
    <x v="3"/>
    <x v="11"/>
    <x v="0"/>
    <x v="3"/>
    <x v="19"/>
    <x v="8"/>
    <x v="4"/>
    <x v="1"/>
    <x v="0"/>
    <n v="29.84"/>
    <n v="9"/>
    <n v="0.15"/>
    <n v="268.56"/>
    <n v="40.283999999999999"/>
    <n v="228.27600000000001"/>
    <x v="441"/>
    <n v="141.52600000000001"/>
  </r>
  <r>
    <s v="ORD-10171"/>
    <n v="44959"/>
    <x v="0"/>
    <x v="3"/>
    <x v="11"/>
    <x v="3"/>
    <x v="1"/>
    <x v="18"/>
    <x v="9"/>
    <x v="0"/>
    <x v="1"/>
    <x v="2"/>
    <n v="482.38"/>
    <n v="8"/>
    <n v="0"/>
    <n v="3859.04"/>
    <n v="0"/>
    <n v="3859.04"/>
    <x v="442"/>
    <n v="2006.7"/>
  </r>
  <r>
    <s v="ORD-10397"/>
    <n v="44652"/>
    <x v="0"/>
    <x v="0"/>
    <x v="12"/>
    <x v="2"/>
    <x v="2"/>
    <x v="10"/>
    <x v="3"/>
    <x v="4"/>
    <x v="1"/>
    <x v="1"/>
    <n v="60.37"/>
    <n v="4"/>
    <n v="0.05"/>
    <n v="241.48"/>
    <n v="12.074"/>
    <n v="229.40599999999998"/>
    <x v="443"/>
    <n v="133.05599999999998"/>
  </r>
  <r>
    <s v="ORD-10900"/>
    <n v="45283"/>
    <x v="0"/>
    <x v="4"/>
    <x v="13"/>
    <x v="3"/>
    <x v="4"/>
    <x v="9"/>
    <x v="0"/>
    <x v="1"/>
    <x v="2"/>
    <x v="2"/>
    <n v="560.45000000000005"/>
    <n v="2"/>
    <n v="0.05"/>
    <n v="1120.9000000000001"/>
    <n v="56.045000000000009"/>
    <n v="1064.855"/>
    <x v="444"/>
    <n v="404.64499999999998"/>
  </r>
  <r>
    <s v="ORD-11017"/>
    <n v="45221"/>
    <x v="0"/>
    <x v="4"/>
    <x v="14"/>
    <x v="1"/>
    <x v="1"/>
    <x v="12"/>
    <x v="10"/>
    <x v="0"/>
    <x v="0"/>
    <x v="1"/>
    <n v="131.35"/>
    <n v="3"/>
    <n v="0"/>
    <n v="394.04999999999995"/>
    <n v="0"/>
    <n v="394.04999999999995"/>
    <x v="445"/>
    <n v="204.90999999999997"/>
  </r>
  <r>
    <s v="ORD-10549"/>
    <n v="44576"/>
    <x v="0"/>
    <x v="0"/>
    <x v="9"/>
    <x v="1"/>
    <x v="4"/>
    <x v="9"/>
    <x v="0"/>
    <x v="4"/>
    <x v="1"/>
    <x v="1"/>
    <n v="633"/>
    <n v="6"/>
    <n v="0"/>
    <n v="3798"/>
    <n v="0"/>
    <n v="3798"/>
    <x v="446"/>
    <n v="1443.2399999999998"/>
  </r>
  <r>
    <s v="ORD-10447"/>
    <n v="45007"/>
    <x v="0"/>
    <x v="3"/>
    <x v="7"/>
    <x v="3"/>
    <x v="4"/>
    <x v="9"/>
    <x v="9"/>
    <x v="2"/>
    <x v="0"/>
    <x v="3"/>
    <n v="571.54999999999995"/>
    <n v="4"/>
    <n v="0.05"/>
    <n v="2286.1999999999998"/>
    <n v="114.31"/>
    <n v="2171.89"/>
    <x v="447"/>
    <n v="825.31999999999994"/>
  </r>
  <r>
    <s v="ORD-10347"/>
    <n v="45018"/>
    <x v="0"/>
    <x v="0"/>
    <x v="0"/>
    <x v="0"/>
    <x v="1"/>
    <x v="2"/>
    <x v="5"/>
    <x v="4"/>
    <x v="2"/>
    <x v="0"/>
    <n v="188.07"/>
    <n v="8"/>
    <n v="0.2"/>
    <n v="1504.56"/>
    <n v="300.91199999999998"/>
    <n v="1203.6479999999999"/>
    <x v="448"/>
    <n v="625.89799999999991"/>
  </r>
  <r>
    <s v="ORD-10201"/>
    <n v="44656"/>
    <x v="0"/>
    <x v="0"/>
    <x v="9"/>
    <x v="1"/>
    <x v="4"/>
    <x v="4"/>
    <x v="11"/>
    <x v="4"/>
    <x v="3"/>
    <x v="2"/>
    <n v="47.18"/>
    <n v="7"/>
    <n v="0.15"/>
    <n v="330.26"/>
    <n v="49.538999999999994"/>
    <n v="280.721"/>
    <x v="449"/>
    <n v="106.67099999999999"/>
  </r>
  <r>
    <s v="ORD-10561"/>
    <n v="44956"/>
    <x v="0"/>
    <x v="3"/>
    <x v="11"/>
    <x v="2"/>
    <x v="1"/>
    <x v="1"/>
    <x v="10"/>
    <x v="1"/>
    <x v="0"/>
    <x v="3"/>
    <n v="429.02"/>
    <n v="3"/>
    <n v="0"/>
    <n v="1287.06"/>
    <n v="0"/>
    <n v="1287.06"/>
    <x v="450"/>
    <n v="669.27"/>
  </r>
  <r>
    <s v="ORD-10600"/>
    <n v="44793"/>
    <x v="0"/>
    <x v="3"/>
    <x v="7"/>
    <x v="0"/>
    <x v="3"/>
    <x v="23"/>
    <x v="2"/>
    <x v="0"/>
    <x v="1"/>
    <x v="0"/>
    <n v="16.079999999999998"/>
    <n v="15"/>
    <n v="0.15"/>
    <n v="241.2"/>
    <n v="36.18"/>
    <n v="205.01999999999998"/>
    <x v="451"/>
    <n v="127.10999999999999"/>
  </r>
  <r>
    <s v="ORD-11020"/>
    <n v="45143"/>
    <x v="0"/>
    <x v="0"/>
    <x v="9"/>
    <x v="1"/>
    <x v="2"/>
    <x v="5"/>
    <x v="5"/>
    <x v="1"/>
    <x v="0"/>
    <x v="3"/>
    <n v="66.53"/>
    <n v="5"/>
    <n v="0.1"/>
    <n v="332.65"/>
    <n v="33.265000000000001"/>
    <n v="299.38499999999999"/>
    <x v="452"/>
    <n v="173.64499999999998"/>
  </r>
  <r>
    <s v="ORD-10896"/>
    <n v="44875"/>
    <x v="0"/>
    <x v="0"/>
    <x v="12"/>
    <x v="2"/>
    <x v="2"/>
    <x v="17"/>
    <x v="11"/>
    <x v="2"/>
    <x v="4"/>
    <x v="3"/>
    <n v="108.15"/>
    <n v="1"/>
    <n v="0"/>
    <n v="108.15"/>
    <n v="0"/>
    <n v="108.15"/>
    <x v="453"/>
    <n v="62.730000000000004"/>
  </r>
  <r>
    <s v="ORD-10792"/>
    <n v="45140"/>
    <x v="0"/>
    <x v="3"/>
    <x v="7"/>
    <x v="3"/>
    <x v="4"/>
    <x v="13"/>
    <x v="3"/>
    <x v="0"/>
    <x v="1"/>
    <x v="2"/>
    <n v="400.55"/>
    <n v="2"/>
    <n v="0"/>
    <n v="801.1"/>
    <n v="0"/>
    <n v="801.1"/>
    <x v="454"/>
    <n v="304.42"/>
  </r>
  <r>
    <s v="ORD-11043"/>
    <n v="44781"/>
    <x v="0"/>
    <x v="1"/>
    <x v="1"/>
    <x v="1"/>
    <x v="3"/>
    <x v="14"/>
    <x v="10"/>
    <x v="1"/>
    <x v="4"/>
    <x v="1"/>
    <n v="7.3"/>
    <n v="25"/>
    <n v="0"/>
    <n v="182.5"/>
    <n v="0"/>
    <n v="182.5"/>
    <x v="455"/>
    <n v="113.15"/>
  </r>
  <r>
    <s v="ORD-10114"/>
    <n v="45139"/>
    <x v="0"/>
    <x v="1"/>
    <x v="2"/>
    <x v="3"/>
    <x v="4"/>
    <x v="11"/>
    <x v="4"/>
    <x v="3"/>
    <x v="0"/>
    <x v="3"/>
    <n v="983.27"/>
    <n v="7"/>
    <n v="0.1"/>
    <n v="6882.8899999999994"/>
    <n v="688.28899999999999"/>
    <n v="6194.6009999999997"/>
    <x v="456"/>
    <n v="2353.9509999999996"/>
  </r>
  <r>
    <s v="ORD-10092"/>
    <n v="44879"/>
    <x v="0"/>
    <x v="2"/>
    <x v="3"/>
    <x v="1"/>
    <x v="3"/>
    <x v="19"/>
    <x v="4"/>
    <x v="3"/>
    <x v="2"/>
    <x v="3"/>
    <n v="26.33"/>
    <n v="1"/>
    <n v="0"/>
    <n v="26.33"/>
    <n v="0"/>
    <n v="26.33"/>
    <x v="457"/>
    <n v="16.32"/>
  </r>
  <r>
    <s v="ORD-11025"/>
    <n v="45063"/>
    <x v="0"/>
    <x v="4"/>
    <x v="14"/>
    <x v="0"/>
    <x v="3"/>
    <x v="14"/>
    <x v="0"/>
    <x v="3"/>
    <x v="3"/>
    <x v="1"/>
    <n v="6.8"/>
    <n v="23"/>
    <n v="0"/>
    <n v="156.4"/>
    <n v="0"/>
    <n v="156.4"/>
    <x v="458"/>
    <n v="96.97"/>
  </r>
  <r>
    <s v="ORD-10869"/>
    <n v="44759"/>
    <x v="0"/>
    <x v="2"/>
    <x v="6"/>
    <x v="2"/>
    <x v="0"/>
    <x v="3"/>
    <x v="10"/>
    <x v="3"/>
    <x v="4"/>
    <x v="2"/>
    <n v="20.11"/>
    <n v="3"/>
    <n v="0"/>
    <n v="60.33"/>
    <n v="0"/>
    <n v="60.33"/>
    <x v="459"/>
    <n v="27.15"/>
  </r>
  <r>
    <s v="ORD-10337"/>
    <n v="45202"/>
    <x v="0"/>
    <x v="4"/>
    <x v="14"/>
    <x v="0"/>
    <x v="1"/>
    <x v="18"/>
    <x v="5"/>
    <x v="0"/>
    <x v="0"/>
    <x v="0"/>
    <n v="463.35"/>
    <n v="3"/>
    <n v="0"/>
    <n v="1390.0500000000002"/>
    <n v="0"/>
    <n v="1390.0500000000002"/>
    <x v="460"/>
    <n v="722.83000000000015"/>
  </r>
  <r>
    <s v="ORD-10998"/>
    <n v="45239"/>
    <x v="0"/>
    <x v="2"/>
    <x v="3"/>
    <x v="3"/>
    <x v="4"/>
    <x v="9"/>
    <x v="9"/>
    <x v="3"/>
    <x v="0"/>
    <x v="1"/>
    <n v="513.41"/>
    <n v="7"/>
    <n v="0"/>
    <n v="3593.87"/>
    <n v="0"/>
    <n v="3593.87"/>
    <x v="461"/>
    <n v="1365.67"/>
  </r>
  <r>
    <s v="ORD-10073"/>
    <n v="45100"/>
    <x v="0"/>
    <x v="1"/>
    <x v="5"/>
    <x v="2"/>
    <x v="4"/>
    <x v="4"/>
    <x v="10"/>
    <x v="2"/>
    <x v="3"/>
    <x v="0"/>
    <n v="46.39"/>
    <n v="4"/>
    <n v="0.1"/>
    <n v="185.56"/>
    <n v="18.556000000000001"/>
    <n v="167.00399999999999"/>
    <x v="462"/>
    <n v="63.463999999999984"/>
  </r>
  <r>
    <s v="ORD-10654"/>
    <n v="44614"/>
    <x v="0"/>
    <x v="2"/>
    <x v="3"/>
    <x v="3"/>
    <x v="1"/>
    <x v="21"/>
    <x v="8"/>
    <x v="4"/>
    <x v="4"/>
    <x v="1"/>
    <n v="297.24"/>
    <n v="2"/>
    <n v="0.15"/>
    <n v="594.48"/>
    <n v="89.171999999999997"/>
    <n v="505.30799999999999"/>
    <x v="463"/>
    <n v="262.75799999999998"/>
  </r>
  <r>
    <s v="ORD-10192"/>
    <n v="44598"/>
    <x v="0"/>
    <x v="2"/>
    <x v="4"/>
    <x v="0"/>
    <x v="2"/>
    <x v="5"/>
    <x v="2"/>
    <x v="4"/>
    <x v="4"/>
    <x v="3"/>
    <n v="67.099999999999994"/>
    <n v="2"/>
    <n v="0.1"/>
    <n v="134.19999999999999"/>
    <n v="13.42"/>
    <n v="120.77999999999999"/>
    <x v="464"/>
    <n v="70.049999999999983"/>
  </r>
  <r>
    <s v="ORD-10705"/>
    <n v="44723"/>
    <x v="0"/>
    <x v="0"/>
    <x v="9"/>
    <x v="0"/>
    <x v="0"/>
    <x v="8"/>
    <x v="6"/>
    <x v="3"/>
    <x v="3"/>
    <x v="0"/>
    <n v="10.1"/>
    <n v="2"/>
    <n v="0.1"/>
    <n v="20.2"/>
    <n v="2.02"/>
    <n v="18.18"/>
    <x v="465"/>
    <n v="8.18"/>
  </r>
  <r>
    <s v="ORD-10744"/>
    <n v="44903"/>
    <x v="0"/>
    <x v="0"/>
    <x v="0"/>
    <x v="3"/>
    <x v="4"/>
    <x v="11"/>
    <x v="3"/>
    <x v="4"/>
    <x v="0"/>
    <x v="0"/>
    <n v="1057.47"/>
    <n v="7"/>
    <n v="0.2"/>
    <n v="7402.29"/>
    <n v="1480.4580000000001"/>
    <n v="5921.8320000000003"/>
    <x v="466"/>
    <n v="2250.3020000000001"/>
  </r>
  <r>
    <s v="ORD-10535"/>
    <n v="44714"/>
    <x v="0"/>
    <x v="3"/>
    <x v="8"/>
    <x v="1"/>
    <x v="1"/>
    <x v="1"/>
    <x v="10"/>
    <x v="4"/>
    <x v="3"/>
    <x v="0"/>
    <n v="432.82"/>
    <n v="8"/>
    <n v="0"/>
    <n v="3462.56"/>
    <n v="0"/>
    <n v="3462.56"/>
    <x v="467"/>
    <n v="1800.53"/>
  </r>
  <r>
    <s v="ORD-10007"/>
    <n v="44573"/>
    <x v="0"/>
    <x v="1"/>
    <x v="5"/>
    <x v="1"/>
    <x v="0"/>
    <x v="3"/>
    <x v="4"/>
    <x v="2"/>
    <x v="2"/>
    <x v="1"/>
    <n v="16.440000000000001"/>
    <n v="1"/>
    <n v="0.15"/>
    <n v="16.440000000000001"/>
    <n v="2.4660000000000002"/>
    <n v="13.974"/>
    <x v="468"/>
    <n v="6.2940000000000005"/>
  </r>
  <r>
    <s v="ORD-10564"/>
    <n v="44734"/>
    <x v="0"/>
    <x v="3"/>
    <x v="8"/>
    <x v="0"/>
    <x v="4"/>
    <x v="11"/>
    <x v="8"/>
    <x v="0"/>
    <x v="3"/>
    <x v="2"/>
    <n v="971.73"/>
    <n v="3"/>
    <n v="0"/>
    <n v="2915.19"/>
    <n v="0"/>
    <n v="2915.19"/>
    <x v="469"/>
    <n v="1107.77"/>
  </r>
  <r>
    <s v="ORD-10501"/>
    <n v="44616"/>
    <x v="0"/>
    <x v="2"/>
    <x v="4"/>
    <x v="3"/>
    <x v="1"/>
    <x v="21"/>
    <x v="3"/>
    <x v="1"/>
    <x v="2"/>
    <x v="3"/>
    <n v="358.14"/>
    <n v="5"/>
    <n v="0.2"/>
    <n v="1790.6999999999998"/>
    <n v="358.14"/>
    <n v="1432.56"/>
    <x v="470"/>
    <n v="744.93"/>
  </r>
  <r>
    <s v="ORD-10075"/>
    <n v="45123"/>
    <x v="0"/>
    <x v="0"/>
    <x v="12"/>
    <x v="1"/>
    <x v="0"/>
    <x v="8"/>
    <x v="7"/>
    <x v="0"/>
    <x v="3"/>
    <x v="0"/>
    <n v="8.9"/>
    <n v="23"/>
    <n v="0"/>
    <n v="204.70000000000002"/>
    <n v="0"/>
    <n v="204.70000000000002"/>
    <x v="471"/>
    <n v="92.110000000000014"/>
  </r>
  <r>
    <s v="ORD-10930"/>
    <n v="44607"/>
    <x v="0"/>
    <x v="2"/>
    <x v="3"/>
    <x v="2"/>
    <x v="0"/>
    <x v="16"/>
    <x v="6"/>
    <x v="1"/>
    <x v="0"/>
    <x v="1"/>
    <n v="13.07"/>
    <n v="15"/>
    <n v="0.2"/>
    <n v="196.05"/>
    <n v="39.210000000000008"/>
    <n v="156.84"/>
    <x v="472"/>
    <n v="70.58"/>
  </r>
  <r>
    <s v="ORD-11013"/>
    <n v="44816"/>
    <x v="0"/>
    <x v="4"/>
    <x v="10"/>
    <x v="1"/>
    <x v="4"/>
    <x v="9"/>
    <x v="6"/>
    <x v="1"/>
    <x v="2"/>
    <x v="3"/>
    <n v="541.91"/>
    <n v="4"/>
    <n v="0"/>
    <n v="2167.64"/>
    <n v="0"/>
    <n v="2167.64"/>
    <x v="473"/>
    <n v="823.69999999999982"/>
  </r>
  <r>
    <s v="ORD-10265"/>
    <n v="45010"/>
    <x v="0"/>
    <x v="3"/>
    <x v="7"/>
    <x v="1"/>
    <x v="4"/>
    <x v="4"/>
    <x v="5"/>
    <x v="3"/>
    <x v="1"/>
    <x v="1"/>
    <n v="52.59"/>
    <n v="5"/>
    <n v="0.15"/>
    <n v="262.95000000000005"/>
    <n v="39.442500000000003"/>
    <n v="223.50750000000005"/>
    <x v="474"/>
    <n v="84.927500000000038"/>
  </r>
  <r>
    <s v="ORD-10606"/>
    <n v="44873"/>
    <x v="0"/>
    <x v="1"/>
    <x v="1"/>
    <x v="2"/>
    <x v="3"/>
    <x v="23"/>
    <x v="2"/>
    <x v="0"/>
    <x v="1"/>
    <x v="1"/>
    <n v="16.61"/>
    <n v="1"/>
    <n v="0"/>
    <n v="16.61"/>
    <n v="0"/>
    <n v="16.61"/>
    <x v="475"/>
    <n v="10.3"/>
  </r>
  <r>
    <s v="ORD-10514"/>
    <n v="45097"/>
    <x v="0"/>
    <x v="0"/>
    <x v="9"/>
    <x v="2"/>
    <x v="4"/>
    <x v="22"/>
    <x v="1"/>
    <x v="2"/>
    <x v="3"/>
    <x v="2"/>
    <n v="428.8"/>
    <n v="1"/>
    <n v="0.2"/>
    <n v="428.8"/>
    <n v="85.76"/>
    <n v="343.04"/>
    <x v="476"/>
    <n v="130.36000000000001"/>
  </r>
  <r>
    <s v="ORD-10765"/>
    <n v="45016"/>
    <x v="0"/>
    <x v="1"/>
    <x v="1"/>
    <x v="2"/>
    <x v="4"/>
    <x v="22"/>
    <x v="7"/>
    <x v="4"/>
    <x v="3"/>
    <x v="3"/>
    <n v="344.07"/>
    <n v="6"/>
    <n v="0.15"/>
    <n v="2064.42"/>
    <n v="309.66300000000001"/>
    <n v="1754.7570000000001"/>
    <x v="477"/>
    <n v="666.80700000000002"/>
  </r>
  <r>
    <s v="ORD-10974"/>
    <n v="44711"/>
    <x v="0"/>
    <x v="1"/>
    <x v="1"/>
    <x v="1"/>
    <x v="3"/>
    <x v="14"/>
    <x v="2"/>
    <x v="0"/>
    <x v="4"/>
    <x v="3"/>
    <n v="7.05"/>
    <n v="10"/>
    <n v="0"/>
    <n v="70.5"/>
    <n v="0"/>
    <n v="70.5"/>
    <x v="478"/>
    <n v="43.71"/>
  </r>
  <r>
    <s v="ORD-10480"/>
    <n v="44859"/>
    <x v="0"/>
    <x v="1"/>
    <x v="1"/>
    <x v="1"/>
    <x v="2"/>
    <x v="15"/>
    <x v="3"/>
    <x v="3"/>
    <x v="3"/>
    <x v="3"/>
    <s v="N/A"/>
    <n v="1"/>
    <n v="0.1"/>
    <n v="0"/>
    <n v="0"/>
    <n v="0"/>
    <x v="9"/>
    <e v="#VALUE!"/>
  </r>
  <r>
    <s v="ORD-10057"/>
    <n v="45127"/>
    <x v="0"/>
    <x v="2"/>
    <x v="3"/>
    <x v="3"/>
    <x v="2"/>
    <x v="17"/>
    <x v="6"/>
    <x v="4"/>
    <x v="3"/>
    <x v="2"/>
    <n v="131.16"/>
    <n v="7"/>
    <n v="0"/>
    <n v="918.12"/>
    <n v="0"/>
    <n v="918.12"/>
    <x v="479"/>
    <n v="532.51"/>
  </r>
  <r>
    <s v="ORD-10510"/>
    <n v="45049"/>
    <x v="0"/>
    <x v="1"/>
    <x v="2"/>
    <x v="2"/>
    <x v="1"/>
    <x v="21"/>
    <x v="3"/>
    <x v="0"/>
    <x v="4"/>
    <x v="0"/>
    <n v="337.83"/>
    <n v="2"/>
    <n v="0.1"/>
    <n v="675.66"/>
    <n v="67.566000000000003"/>
    <n v="608.09399999999994"/>
    <x v="480"/>
    <n v="316.21399999999994"/>
  </r>
  <r>
    <s v="ORD-10795"/>
    <n v="44738"/>
    <x v="0"/>
    <x v="1"/>
    <x v="1"/>
    <x v="2"/>
    <x v="0"/>
    <x v="16"/>
    <x v="9"/>
    <x v="0"/>
    <x v="1"/>
    <x v="3"/>
    <n v="13.17"/>
    <n v="5"/>
    <n v="0.1"/>
    <n v="65.849999999999994"/>
    <n v="6.585"/>
    <n v="59.264999999999993"/>
    <x v="481"/>
    <n v="26.664999999999992"/>
  </r>
  <r>
    <s v="ORD-10358"/>
    <n v="45024"/>
    <x v="0"/>
    <x v="0"/>
    <x v="9"/>
    <x v="3"/>
    <x v="0"/>
    <x v="3"/>
    <x v="5"/>
    <x v="1"/>
    <x v="0"/>
    <x v="1"/>
    <s v="N/A"/>
    <n v="15"/>
    <n v="0.1"/>
    <n v="0"/>
    <n v="0"/>
    <n v="0"/>
    <x v="9"/>
    <e v="#VALUE!"/>
  </r>
  <r>
    <s v="ORD-10244"/>
    <n v="45061"/>
    <x v="0"/>
    <x v="1"/>
    <x v="1"/>
    <x v="3"/>
    <x v="2"/>
    <x v="10"/>
    <x v="0"/>
    <x v="2"/>
    <x v="0"/>
    <x v="1"/>
    <n v="68.260000000000005"/>
    <n v="6"/>
    <n v="0.1"/>
    <n v="409.56000000000006"/>
    <n v="40.95600000000001"/>
    <n v="368.60400000000004"/>
    <x v="482"/>
    <n v="213.79400000000004"/>
  </r>
  <r>
    <s v="ORD-10232"/>
    <n v="44716"/>
    <x v="0"/>
    <x v="4"/>
    <x v="13"/>
    <x v="3"/>
    <x v="3"/>
    <x v="6"/>
    <x v="1"/>
    <x v="0"/>
    <x v="1"/>
    <x v="1"/>
    <n v="371.7"/>
    <n v="16"/>
    <n v="0"/>
    <n v="5947.2"/>
    <n v="0"/>
    <n v="5947.2"/>
    <x v="483"/>
    <n v="3687.2599999999998"/>
  </r>
  <r>
    <s v="ORD-10060"/>
    <n v="44802"/>
    <x v="0"/>
    <x v="0"/>
    <x v="9"/>
    <x v="0"/>
    <x v="4"/>
    <x v="4"/>
    <x v="0"/>
    <x v="1"/>
    <x v="4"/>
    <x v="1"/>
    <n v="54.51"/>
    <n v="1"/>
    <n v="0"/>
    <n v="54.51"/>
    <n v="0"/>
    <n v="54.51"/>
    <x v="484"/>
    <n v="20.71"/>
  </r>
  <r>
    <s v="ORD-10545"/>
    <n v="45253"/>
    <x v="0"/>
    <x v="3"/>
    <x v="7"/>
    <x v="0"/>
    <x v="3"/>
    <x v="6"/>
    <x v="6"/>
    <x v="0"/>
    <x v="2"/>
    <x v="1"/>
    <n v="286.68"/>
    <n v="30"/>
    <n v="0"/>
    <n v="8600.4"/>
    <n v="0"/>
    <n v="8600.4"/>
    <x v="485"/>
    <n v="5332.25"/>
  </r>
  <r>
    <s v="ORD-10528"/>
    <n v="45175"/>
    <x v="0"/>
    <x v="3"/>
    <x v="11"/>
    <x v="0"/>
    <x v="1"/>
    <x v="2"/>
    <x v="1"/>
    <x v="3"/>
    <x v="1"/>
    <x v="0"/>
    <n v="256.48"/>
    <n v="6"/>
    <n v="0"/>
    <n v="1538.88"/>
    <n v="0"/>
    <n v="1538.88"/>
    <x v="486"/>
    <n v="800.22000000000014"/>
  </r>
  <r>
    <s v="ORD-11024"/>
    <n v="44657"/>
    <x v="0"/>
    <x v="0"/>
    <x v="9"/>
    <x v="3"/>
    <x v="0"/>
    <x v="20"/>
    <x v="0"/>
    <x v="2"/>
    <x v="3"/>
    <x v="0"/>
    <n v="19.09"/>
    <n v="23"/>
    <n v="0"/>
    <n v="439.07"/>
    <n v="0"/>
    <n v="439.07"/>
    <x v="487"/>
    <n v="197.57999999999998"/>
  </r>
  <r>
    <s v="ORD-11015"/>
    <n v="45212"/>
    <x v="0"/>
    <x v="4"/>
    <x v="13"/>
    <x v="0"/>
    <x v="2"/>
    <x v="17"/>
    <x v="6"/>
    <x v="4"/>
    <x v="4"/>
    <x v="2"/>
    <n v="112.75"/>
    <n v="5"/>
    <n v="0"/>
    <n v="563.75"/>
    <n v="0"/>
    <n v="563.75"/>
    <x v="488"/>
    <n v="326.98"/>
  </r>
  <r>
    <s v="ORD-11018"/>
    <n v="45126"/>
    <x v="0"/>
    <x v="2"/>
    <x v="4"/>
    <x v="2"/>
    <x v="1"/>
    <x v="2"/>
    <x v="7"/>
    <x v="2"/>
    <x v="3"/>
    <x v="1"/>
    <n v="210.92"/>
    <n v="5"/>
    <n v="0.15"/>
    <n v="1054.5999999999999"/>
    <n v="158.18999999999997"/>
    <n v="896.41"/>
    <x v="489"/>
    <n v="466.13"/>
  </r>
  <r>
    <s v="ORD-10986"/>
    <n v="44927"/>
    <x v="0"/>
    <x v="2"/>
    <x v="6"/>
    <x v="2"/>
    <x v="4"/>
    <x v="9"/>
    <x v="7"/>
    <x v="2"/>
    <x v="2"/>
    <x v="1"/>
    <n v="747.16"/>
    <n v="1"/>
    <n v="0.2"/>
    <n v="747.16"/>
    <n v="149.43199999999999"/>
    <n v="597.72799999999995"/>
    <x v="490"/>
    <n v="227.13799999999998"/>
  </r>
  <r>
    <s v="ORD-10460"/>
    <n v="44773"/>
    <x v="0"/>
    <x v="2"/>
    <x v="6"/>
    <x v="2"/>
    <x v="3"/>
    <x v="19"/>
    <x v="9"/>
    <x v="4"/>
    <x v="4"/>
    <x v="1"/>
    <n v="24.15"/>
    <n v="9"/>
    <n v="0"/>
    <n v="217.35"/>
    <n v="0"/>
    <n v="217.35"/>
    <x v="491"/>
    <n v="134.76"/>
  </r>
  <r>
    <s v="ORD-10234"/>
    <n v="44944"/>
    <x v="0"/>
    <x v="1"/>
    <x v="1"/>
    <x v="0"/>
    <x v="0"/>
    <x v="0"/>
    <x v="11"/>
    <x v="1"/>
    <x v="1"/>
    <x v="1"/>
    <n v="14.62"/>
    <n v="4"/>
    <n v="0.05"/>
    <n v="58.48"/>
    <n v="2.9239999999999999"/>
    <n v="55.555999999999997"/>
    <x v="492"/>
    <n v="24.995999999999999"/>
  </r>
  <r>
    <s v="ORD-10346"/>
    <n v="44725"/>
    <x v="0"/>
    <x v="3"/>
    <x v="11"/>
    <x v="3"/>
    <x v="2"/>
    <x v="10"/>
    <x v="5"/>
    <x v="2"/>
    <x v="3"/>
    <x v="3"/>
    <n v="50.32"/>
    <n v="3"/>
    <n v="0"/>
    <n v="150.96"/>
    <n v="0"/>
    <n v="150.96"/>
    <x v="493"/>
    <n v="87.56"/>
  </r>
  <r>
    <s v="ORD-10029"/>
    <n v="45048"/>
    <x v="0"/>
    <x v="2"/>
    <x v="6"/>
    <x v="1"/>
    <x v="2"/>
    <x v="15"/>
    <x v="4"/>
    <x v="3"/>
    <x v="1"/>
    <x v="3"/>
    <n v="167.64"/>
    <m/>
    <n v="0"/>
    <n v="0"/>
    <n v="0"/>
    <n v="0"/>
    <x v="9"/>
    <e v="#VALUE!"/>
  </r>
  <r>
    <s v="ORD-10418"/>
    <n v="44887"/>
    <x v="0"/>
    <x v="2"/>
    <x v="4"/>
    <x v="1"/>
    <x v="0"/>
    <x v="20"/>
    <x v="4"/>
    <x v="2"/>
    <x v="4"/>
    <x v="1"/>
    <n v="21.95"/>
    <n v="12"/>
    <n v="0"/>
    <n v="263.39999999999998"/>
    <n v="0"/>
    <n v="263.39999999999998"/>
    <x v="494"/>
    <n v="118.52999999999997"/>
  </r>
  <r>
    <s v="ORD-10667"/>
    <n v="44566"/>
    <x v="0"/>
    <x v="3"/>
    <x v="7"/>
    <x v="0"/>
    <x v="1"/>
    <x v="21"/>
    <x v="11"/>
    <x v="3"/>
    <x v="3"/>
    <x v="1"/>
    <n v="321.29000000000002"/>
    <n v="2"/>
    <n v="0.05"/>
    <n v="642.58000000000004"/>
    <n v="32.129000000000005"/>
    <n v="610.45100000000002"/>
    <x v="495"/>
    <n v="317.43100000000004"/>
  </r>
  <r>
    <s v="ORD-10117"/>
    <n v="44990"/>
    <x v="0"/>
    <x v="4"/>
    <x v="13"/>
    <x v="1"/>
    <x v="3"/>
    <x v="7"/>
    <x v="8"/>
    <x v="2"/>
    <x v="1"/>
    <x v="1"/>
    <n v="14.98"/>
    <n v="15"/>
    <n v="0.05"/>
    <n v="224.70000000000002"/>
    <n v="11.235000000000001"/>
    <n v="213.465"/>
    <x v="496"/>
    <n v="132.345"/>
  </r>
  <r>
    <s v="ORD-10248"/>
    <n v="44617"/>
    <x v="0"/>
    <x v="4"/>
    <x v="14"/>
    <x v="0"/>
    <x v="3"/>
    <x v="7"/>
    <x v="1"/>
    <x v="3"/>
    <x v="4"/>
    <x v="3"/>
    <n v="13.64"/>
    <n v="4"/>
    <n v="0"/>
    <n v="54.56"/>
    <n v="0"/>
    <n v="54.56"/>
    <x v="497"/>
    <n v="33.83"/>
  </r>
  <r>
    <s v="ORD-10874"/>
    <n v="44636"/>
    <x v="0"/>
    <x v="4"/>
    <x v="14"/>
    <x v="1"/>
    <x v="1"/>
    <x v="18"/>
    <x v="4"/>
    <x v="3"/>
    <x v="2"/>
    <x v="1"/>
    <s v="N/A"/>
    <n v="2"/>
    <n v="0"/>
    <n v="0"/>
    <n v="0"/>
    <n v="0"/>
    <x v="9"/>
    <e v="#VALUE!"/>
  </r>
  <r>
    <s v="ORD-10733"/>
    <n v="45002"/>
    <x v="0"/>
    <x v="2"/>
    <x v="3"/>
    <x v="3"/>
    <x v="0"/>
    <x v="8"/>
    <x v="2"/>
    <x v="1"/>
    <x v="0"/>
    <x v="1"/>
    <n v="8.9700000000000006"/>
    <n v="9"/>
    <n v="0.05"/>
    <n v="80.73"/>
    <n v="4.0365000000000002"/>
    <n v="76.6935"/>
    <x v="498"/>
    <n v="34.513500000000001"/>
  </r>
  <r>
    <s v="ORD-10911"/>
    <n v="45049"/>
    <x v="0"/>
    <x v="0"/>
    <x v="0"/>
    <x v="3"/>
    <x v="3"/>
    <x v="7"/>
    <x v="2"/>
    <x v="4"/>
    <x v="1"/>
    <x v="1"/>
    <n v="13.6"/>
    <n v="20"/>
    <n v="0"/>
    <n v="272"/>
    <n v="0"/>
    <n v="272"/>
    <x v="499"/>
    <n v="168.64"/>
  </r>
  <r>
    <s v="ORD-10448"/>
    <n v="44879"/>
    <x v="0"/>
    <x v="3"/>
    <x v="7"/>
    <x v="0"/>
    <x v="0"/>
    <x v="16"/>
    <x v="9"/>
    <x v="1"/>
    <x v="1"/>
    <x v="1"/>
    <n v="10.85"/>
    <n v="9"/>
    <n v="0.2"/>
    <n v="97.649999999999991"/>
    <n v="19.53"/>
    <n v="78.11999999999999"/>
    <x v="500"/>
    <n v="35.149999999999991"/>
  </r>
  <r>
    <s v="ORD-10897"/>
    <n v="44871"/>
    <x v="0"/>
    <x v="3"/>
    <x v="8"/>
    <x v="1"/>
    <x v="2"/>
    <x v="15"/>
    <x v="9"/>
    <x v="1"/>
    <x v="0"/>
    <x v="3"/>
    <n v="157.47999999999999"/>
    <n v="7"/>
    <n v="0.05"/>
    <n v="1102.3599999999999"/>
    <n v="55.117999999999995"/>
    <n v="1047.242"/>
    <x v="501"/>
    <n v="607.40200000000004"/>
  </r>
  <r>
    <s v="ORD-10965"/>
    <n v="44828"/>
    <x v="0"/>
    <x v="3"/>
    <x v="8"/>
    <x v="3"/>
    <x v="1"/>
    <x v="1"/>
    <x v="1"/>
    <x v="3"/>
    <x v="3"/>
    <x v="0"/>
    <n v="451.58"/>
    <n v="7"/>
    <n v="0"/>
    <n v="3161.06"/>
    <n v="0"/>
    <n v="3161.06"/>
    <x v="502"/>
    <n v="1643.75"/>
  </r>
  <r>
    <s v="ORD-10607"/>
    <n v="45183"/>
    <x v="0"/>
    <x v="1"/>
    <x v="1"/>
    <x v="2"/>
    <x v="1"/>
    <x v="12"/>
    <x v="10"/>
    <x v="2"/>
    <x v="0"/>
    <x v="1"/>
    <n v="124.43"/>
    <n v="1"/>
    <n v="0.15"/>
    <n v="124.43"/>
    <n v="18.6645"/>
    <n v="105.7655"/>
    <x v="503"/>
    <n v="54.9955"/>
  </r>
  <r>
    <s v="ORD-10429"/>
    <n v="44660"/>
    <x v="0"/>
    <x v="1"/>
    <x v="5"/>
    <x v="2"/>
    <x v="1"/>
    <x v="18"/>
    <x v="6"/>
    <x v="4"/>
    <x v="0"/>
    <x v="1"/>
    <n v="408.7"/>
    <n v="5"/>
    <n v="0.1"/>
    <n v="2043.5"/>
    <n v="204.35000000000002"/>
    <n v="1839.15"/>
    <x v="504"/>
    <n v="956.36000000000013"/>
  </r>
  <r>
    <s v="ORD-11009"/>
    <n v="44658"/>
    <x v="0"/>
    <x v="2"/>
    <x v="6"/>
    <x v="2"/>
    <x v="4"/>
    <x v="4"/>
    <x v="11"/>
    <x v="0"/>
    <x v="0"/>
    <x v="2"/>
    <n v="43.01"/>
    <n v="4"/>
    <n v="0"/>
    <n v="172.04"/>
    <n v="0"/>
    <n v="172.04"/>
    <x v="505"/>
    <n v="65.38"/>
  </r>
  <r>
    <s v="ORD-10267"/>
    <n v="45223"/>
    <x v="0"/>
    <x v="2"/>
    <x v="6"/>
    <x v="2"/>
    <x v="1"/>
    <x v="1"/>
    <x v="6"/>
    <x v="3"/>
    <x v="0"/>
    <x v="1"/>
    <n v="350.57"/>
    <n v="1"/>
    <n v="0.2"/>
    <n v="350.57"/>
    <n v="70.114000000000004"/>
    <n v="280.45600000000002"/>
    <x v="506"/>
    <n v="145.83600000000001"/>
  </r>
  <r>
    <s v="ORD-10926"/>
    <n v="44562"/>
    <x v="0"/>
    <x v="0"/>
    <x v="12"/>
    <x v="3"/>
    <x v="2"/>
    <x v="4"/>
    <x v="5"/>
    <x v="1"/>
    <x v="2"/>
    <x v="1"/>
    <n v="49.87"/>
    <n v="7"/>
    <n v="0.15"/>
    <n v="349.09"/>
    <n v="52.363499999999995"/>
    <n v="296.72649999999999"/>
    <x v="507"/>
    <n v="172.09649999999999"/>
  </r>
  <r>
    <s v="ORD-10551"/>
    <n v="45200"/>
    <x v="0"/>
    <x v="0"/>
    <x v="9"/>
    <x v="2"/>
    <x v="4"/>
    <x v="9"/>
    <x v="9"/>
    <x v="2"/>
    <x v="3"/>
    <x v="2"/>
    <n v="681.01"/>
    <n v="3"/>
    <n v="0"/>
    <n v="2043.03"/>
    <n v="0"/>
    <n v="2043.03"/>
    <x v="508"/>
    <n v="776.34999999999991"/>
  </r>
  <r>
    <s v="ORD-10884"/>
    <n v="45052"/>
    <x v="0"/>
    <x v="4"/>
    <x v="14"/>
    <x v="3"/>
    <x v="0"/>
    <x v="3"/>
    <x v="6"/>
    <x v="4"/>
    <x v="0"/>
    <x v="3"/>
    <n v="22.23"/>
    <n v="13"/>
    <n v="0"/>
    <n v="288.99"/>
    <n v="0"/>
    <n v="288.99"/>
    <x v="336"/>
    <n v="130.05000000000001"/>
  </r>
  <r>
    <s v="ORD-10631"/>
    <n v="44619"/>
    <x v="0"/>
    <x v="4"/>
    <x v="14"/>
    <x v="0"/>
    <x v="1"/>
    <x v="18"/>
    <x v="1"/>
    <x v="1"/>
    <x v="4"/>
    <x v="2"/>
    <n v="499.99"/>
    <n v="7"/>
    <n v="0.2"/>
    <n v="3499.9300000000003"/>
    <n v="699.9860000000001"/>
    <n v="2799.9440000000004"/>
    <x v="509"/>
    <n v="1455.9740000000004"/>
  </r>
  <r>
    <s v="ORD-10632"/>
    <n v="44838"/>
    <x v="0"/>
    <x v="1"/>
    <x v="2"/>
    <x v="0"/>
    <x v="4"/>
    <x v="13"/>
    <x v="1"/>
    <x v="2"/>
    <x v="2"/>
    <x v="1"/>
    <n v="366.04"/>
    <m/>
    <n v="0"/>
    <n v="0"/>
    <n v="0"/>
    <n v="0"/>
    <x v="9"/>
    <e v="#VALUE!"/>
  </r>
  <r>
    <s v="ORD-10165"/>
    <n v="45222"/>
    <x v="0"/>
    <x v="3"/>
    <x v="7"/>
    <x v="3"/>
    <x v="2"/>
    <x v="10"/>
    <x v="11"/>
    <x v="1"/>
    <x v="0"/>
    <x v="1"/>
    <n v="56.56"/>
    <n v="7"/>
    <n v="0.05"/>
    <n v="395.92"/>
    <n v="19.796000000000003"/>
    <n v="376.12400000000002"/>
    <x v="510"/>
    <n v="218.15400000000002"/>
  </r>
  <r>
    <s v="ORD-10014"/>
    <n v="45115"/>
    <x v="0"/>
    <x v="1"/>
    <x v="2"/>
    <x v="1"/>
    <x v="1"/>
    <x v="1"/>
    <x v="9"/>
    <x v="0"/>
    <x v="4"/>
    <x v="1"/>
    <s v="N/A"/>
    <n v="3"/>
    <n v="0.05"/>
    <n v="0"/>
    <n v="0"/>
    <n v="0"/>
    <x v="9"/>
    <e v="#VALUE!"/>
  </r>
  <r>
    <s v="ORD-10772"/>
    <n v="44892"/>
    <x v="0"/>
    <x v="0"/>
    <x v="0"/>
    <x v="0"/>
    <x v="2"/>
    <x v="4"/>
    <x v="11"/>
    <x v="2"/>
    <x v="2"/>
    <x v="3"/>
    <n v="53.9"/>
    <n v="1"/>
    <n v="0"/>
    <n v="53.9"/>
    <n v="0"/>
    <n v="53.9"/>
    <x v="511"/>
    <n v="31.259999999999998"/>
  </r>
  <r>
    <s v="ORD-10191"/>
    <n v="45142"/>
    <x v="0"/>
    <x v="4"/>
    <x v="14"/>
    <x v="2"/>
    <x v="1"/>
    <x v="12"/>
    <x v="0"/>
    <x v="3"/>
    <x v="2"/>
    <x v="1"/>
    <n v="121.47"/>
    <n v="1"/>
    <n v="0"/>
    <n v="121.47"/>
    <n v="0"/>
    <n v="121.47"/>
    <x v="512"/>
    <n v="63.16"/>
  </r>
  <r>
    <s v="ORD-10174"/>
    <n v="44604"/>
    <x v="0"/>
    <x v="3"/>
    <x v="11"/>
    <x v="1"/>
    <x v="1"/>
    <x v="21"/>
    <x v="0"/>
    <x v="4"/>
    <x v="0"/>
    <x v="1"/>
    <n v="276.99"/>
    <n v="2"/>
    <n v="0.05"/>
    <n v="553.98"/>
    <n v="27.699000000000002"/>
    <n v="526.28100000000006"/>
    <x v="513"/>
    <n v="273.67100000000005"/>
  </r>
  <r>
    <s v="ORD-10743"/>
    <n v="45020"/>
    <x v="0"/>
    <x v="3"/>
    <x v="8"/>
    <x v="0"/>
    <x v="0"/>
    <x v="0"/>
    <x v="3"/>
    <x v="4"/>
    <x v="2"/>
    <x v="0"/>
    <n v="13.53"/>
    <n v="18"/>
    <n v="0"/>
    <n v="243.54"/>
    <n v="0"/>
    <n v="243.54"/>
    <x v="514"/>
    <n v="109.59"/>
  </r>
  <r>
    <s v="ORD-10511"/>
    <n v="44923"/>
    <x v="0"/>
    <x v="3"/>
    <x v="11"/>
    <x v="0"/>
    <x v="3"/>
    <x v="6"/>
    <x v="5"/>
    <x v="1"/>
    <x v="2"/>
    <x v="2"/>
    <n v="391.84"/>
    <m/>
    <n v="0"/>
    <n v="0"/>
    <n v="0"/>
    <n v="0"/>
    <x v="9"/>
    <e v="#VALUE!"/>
  </r>
  <r>
    <s v="ORD-10474"/>
    <n v="44658"/>
    <x v="0"/>
    <x v="3"/>
    <x v="11"/>
    <x v="2"/>
    <x v="0"/>
    <x v="3"/>
    <x v="2"/>
    <x v="2"/>
    <x v="3"/>
    <x v="1"/>
    <n v="16.12"/>
    <n v="22"/>
    <n v="0.05"/>
    <n v="354.64000000000004"/>
    <n v="17.732000000000003"/>
    <n v="336.90800000000002"/>
    <x v="515"/>
    <n v="151.608"/>
  </r>
  <r>
    <s v="ORD-11005"/>
    <n v="44595"/>
    <x v="0"/>
    <x v="0"/>
    <x v="9"/>
    <x v="2"/>
    <x v="3"/>
    <x v="7"/>
    <x v="9"/>
    <x v="2"/>
    <x v="2"/>
    <x v="1"/>
    <n v="14.71"/>
    <n v="22"/>
    <n v="0"/>
    <n v="323.62"/>
    <n v="0"/>
    <n v="323.62"/>
    <x v="516"/>
    <n v="200.64"/>
  </r>
  <r>
    <s v="ORD-10821"/>
    <n v="44585"/>
    <x v="0"/>
    <x v="4"/>
    <x v="13"/>
    <x v="2"/>
    <x v="2"/>
    <x v="15"/>
    <x v="9"/>
    <x v="0"/>
    <x v="2"/>
    <x v="0"/>
    <n v="194.43"/>
    <n v="6"/>
    <n v="0"/>
    <n v="1166.58"/>
    <n v="0"/>
    <n v="1166.58"/>
    <x v="517"/>
    <n v="676.61999999999989"/>
  </r>
  <r>
    <s v="ORD-10547"/>
    <n v="44573"/>
    <x v="0"/>
    <x v="0"/>
    <x v="9"/>
    <x v="3"/>
    <x v="2"/>
    <x v="17"/>
    <x v="5"/>
    <x v="4"/>
    <x v="2"/>
    <x v="3"/>
    <n v="112.95"/>
    <n v="1"/>
    <n v="0.2"/>
    <n v="112.95"/>
    <n v="22.590000000000003"/>
    <n v="90.36"/>
    <x v="518"/>
    <n v="52.41"/>
  </r>
  <r>
    <s v="ORD-10481"/>
    <n v="45225"/>
    <x v="0"/>
    <x v="3"/>
    <x v="7"/>
    <x v="1"/>
    <x v="4"/>
    <x v="4"/>
    <x v="1"/>
    <x v="2"/>
    <x v="4"/>
    <x v="3"/>
    <n v="38.619999999999997"/>
    <n v="5"/>
    <n v="0.15"/>
    <n v="193.1"/>
    <n v="28.964999999999996"/>
    <n v="164.13499999999999"/>
    <x v="519"/>
    <n v="62.364999999999995"/>
  </r>
  <r>
    <s v="ORD-10801"/>
    <n v="44707"/>
    <x v="0"/>
    <x v="4"/>
    <x v="14"/>
    <x v="1"/>
    <x v="1"/>
    <x v="12"/>
    <x v="0"/>
    <x v="2"/>
    <x v="2"/>
    <x v="2"/>
    <n v="161.13999999999999"/>
    <n v="5"/>
    <n v="0"/>
    <n v="805.69999999999993"/>
    <n v="0"/>
    <n v="805.69999999999993"/>
    <x v="520"/>
    <n v="418.95999999999992"/>
  </r>
  <r>
    <s v="ORD-10595"/>
    <n v="44854"/>
    <x v="0"/>
    <x v="2"/>
    <x v="3"/>
    <x v="1"/>
    <x v="4"/>
    <x v="4"/>
    <x v="4"/>
    <x v="3"/>
    <x v="1"/>
    <x v="2"/>
    <s v="N/A"/>
    <n v="2"/>
    <n v="0.05"/>
    <n v="0"/>
    <n v="0"/>
    <n v="0"/>
    <x v="9"/>
    <e v="#VALUE!"/>
  </r>
  <r>
    <s v="ORD-10256"/>
    <n v="44958"/>
    <x v="0"/>
    <x v="3"/>
    <x v="11"/>
    <x v="1"/>
    <x v="3"/>
    <x v="7"/>
    <x v="11"/>
    <x v="1"/>
    <x v="0"/>
    <x v="1"/>
    <n v="14.18"/>
    <n v="30"/>
    <n v="0.15"/>
    <n v="425.4"/>
    <n v="63.809999999999995"/>
    <n v="361.59"/>
    <x v="521"/>
    <n v="224.18999999999997"/>
  </r>
  <r>
    <s v="ORD-10597"/>
    <n v="45088"/>
    <x v="0"/>
    <x v="0"/>
    <x v="9"/>
    <x v="0"/>
    <x v="2"/>
    <x v="15"/>
    <x v="9"/>
    <x v="4"/>
    <x v="0"/>
    <x v="1"/>
    <n v="194.5"/>
    <n v="4"/>
    <n v="0.2"/>
    <n v="778"/>
    <n v="155.60000000000002"/>
    <n v="622.4"/>
    <x v="522"/>
    <n v="360.98999999999995"/>
  </r>
  <r>
    <s v="ORD-10901"/>
    <n v="45069"/>
    <x v="0"/>
    <x v="2"/>
    <x v="4"/>
    <x v="3"/>
    <x v="1"/>
    <x v="21"/>
    <x v="7"/>
    <x v="3"/>
    <x v="2"/>
    <x v="2"/>
    <n v="305.38"/>
    <n v="2"/>
    <n v="0"/>
    <n v="610.76"/>
    <n v="0"/>
    <n v="610.76"/>
    <x v="523"/>
    <n v="317.59999999999997"/>
  </r>
  <r>
    <s v="ORD-10242"/>
    <n v="44657"/>
    <x v="0"/>
    <x v="0"/>
    <x v="12"/>
    <x v="1"/>
    <x v="1"/>
    <x v="2"/>
    <x v="9"/>
    <x v="0"/>
    <x v="4"/>
    <x v="1"/>
    <n v="247.71"/>
    <n v="8"/>
    <n v="0.2"/>
    <n v="1981.68"/>
    <n v="396.33600000000001"/>
    <n v="1585.3440000000001"/>
    <x v="524"/>
    <n v="824.38400000000001"/>
  </r>
  <r>
    <s v="ORD-10987"/>
    <n v="45064"/>
    <x v="0"/>
    <x v="1"/>
    <x v="1"/>
    <x v="0"/>
    <x v="0"/>
    <x v="3"/>
    <x v="1"/>
    <x v="3"/>
    <x v="2"/>
    <x v="0"/>
    <n v="16.3"/>
    <n v="15"/>
    <n v="0.1"/>
    <n v="244.5"/>
    <n v="24.450000000000003"/>
    <n v="220.05"/>
    <x v="525"/>
    <n v="99.02000000000001"/>
  </r>
  <r>
    <s v="ORD-10770"/>
    <n v="44919"/>
    <x v="0"/>
    <x v="2"/>
    <x v="3"/>
    <x v="3"/>
    <x v="1"/>
    <x v="2"/>
    <x v="1"/>
    <x v="0"/>
    <x v="1"/>
    <x v="0"/>
    <n v="274.45"/>
    <n v="7"/>
    <n v="0"/>
    <n v="1921.1499999999999"/>
    <n v="0"/>
    <n v="1921.1499999999999"/>
    <x v="526"/>
    <n v="998.99999999999989"/>
  </r>
  <r>
    <s v="ORD-10282"/>
    <n v="44920"/>
    <x v="0"/>
    <x v="2"/>
    <x v="4"/>
    <x v="3"/>
    <x v="0"/>
    <x v="20"/>
    <x v="9"/>
    <x v="4"/>
    <x v="0"/>
    <x v="2"/>
    <n v="26.71"/>
    <n v="3"/>
    <n v="0"/>
    <n v="80.13"/>
    <n v="0"/>
    <n v="80.13"/>
    <x v="527"/>
    <n v="36.059999999999995"/>
  </r>
  <r>
    <s v="ORD-11042"/>
    <n v="45195"/>
    <x v="0"/>
    <x v="0"/>
    <x v="0"/>
    <x v="3"/>
    <x v="1"/>
    <x v="18"/>
    <x v="1"/>
    <x v="2"/>
    <x v="4"/>
    <x v="1"/>
    <n v="386.23"/>
    <n v="7"/>
    <n v="0.2"/>
    <n v="2703.61"/>
    <n v="540.72200000000009"/>
    <n v="2162.8879999999999"/>
    <x v="528"/>
    <n v="1124.6979999999999"/>
  </r>
  <r>
    <s v="ORD-10096"/>
    <n v="44942"/>
    <x v="0"/>
    <x v="2"/>
    <x v="6"/>
    <x v="1"/>
    <x v="0"/>
    <x v="20"/>
    <x v="7"/>
    <x v="1"/>
    <x v="1"/>
    <x v="1"/>
    <n v="26.67"/>
    <n v="5"/>
    <n v="0.2"/>
    <n v="133.35000000000002"/>
    <n v="26.670000000000005"/>
    <n v="106.68000000000002"/>
    <x v="529"/>
    <n v="48.010000000000019"/>
  </r>
  <r>
    <s v="ORD-10044"/>
    <n v="45110"/>
    <x v="0"/>
    <x v="4"/>
    <x v="13"/>
    <x v="0"/>
    <x v="1"/>
    <x v="21"/>
    <x v="7"/>
    <x v="3"/>
    <x v="3"/>
    <x v="0"/>
    <n v="360.24"/>
    <n v="4"/>
    <n v="0"/>
    <n v="1440.96"/>
    <n v="0"/>
    <n v="1440.96"/>
    <x v="530"/>
    <n v="749.30000000000007"/>
  </r>
  <r>
    <s v="ORD-11030"/>
    <n v="44781"/>
    <x v="0"/>
    <x v="1"/>
    <x v="2"/>
    <x v="2"/>
    <x v="2"/>
    <x v="17"/>
    <x v="9"/>
    <x v="3"/>
    <x v="4"/>
    <x v="1"/>
    <n v="128.55000000000001"/>
    <n v="3"/>
    <n v="0"/>
    <n v="385.65000000000003"/>
    <n v="0"/>
    <n v="385.65000000000003"/>
    <x v="531"/>
    <n v="223.68000000000004"/>
  </r>
  <r>
    <s v="ORD-10817"/>
    <n v="44671"/>
    <x v="0"/>
    <x v="1"/>
    <x v="2"/>
    <x v="2"/>
    <x v="1"/>
    <x v="12"/>
    <x v="8"/>
    <x v="0"/>
    <x v="3"/>
    <x v="2"/>
    <n v="162.75"/>
    <n v="7"/>
    <n v="0.15"/>
    <n v="1139.25"/>
    <n v="170.88749999999999"/>
    <n v="968.36249999999995"/>
    <x v="532"/>
    <n v="503.55249999999995"/>
  </r>
  <r>
    <s v="ORD-10405"/>
    <n v="44806"/>
    <x v="0"/>
    <x v="1"/>
    <x v="2"/>
    <x v="2"/>
    <x v="2"/>
    <x v="17"/>
    <x v="5"/>
    <x v="0"/>
    <x v="3"/>
    <x v="3"/>
    <n v="136.46"/>
    <n v="8"/>
    <n v="0.2"/>
    <n v="1091.68"/>
    <n v="218.33600000000001"/>
    <n v="873.34400000000005"/>
    <x v="533"/>
    <n v="506.54400000000004"/>
  </r>
  <r>
    <s v="ORD-10815"/>
    <n v="44884"/>
    <x v="0"/>
    <x v="3"/>
    <x v="7"/>
    <x v="2"/>
    <x v="2"/>
    <x v="4"/>
    <x v="9"/>
    <x v="0"/>
    <x v="2"/>
    <x v="2"/>
    <n v="55.69"/>
    <n v="6"/>
    <n v="0.15"/>
    <n v="334.14"/>
    <n v="50.120999999999995"/>
    <n v="284.01900000000001"/>
    <x v="534"/>
    <n v="164.72899999999998"/>
  </r>
  <r>
    <s v="ORD-10628"/>
    <n v="44637"/>
    <x v="0"/>
    <x v="3"/>
    <x v="11"/>
    <x v="3"/>
    <x v="1"/>
    <x v="2"/>
    <x v="5"/>
    <x v="2"/>
    <x v="1"/>
    <x v="1"/>
    <n v="193.78"/>
    <n v="7"/>
    <n v="0"/>
    <n v="1356.46"/>
    <n v="0"/>
    <n v="1356.46"/>
    <x v="535"/>
    <n v="705.36"/>
  </r>
  <r>
    <s v="ORD-10330"/>
    <n v="44635"/>
    <x v="0"/>
    <x v="0"/>
    <x v="12"/>
    <x v="0"/>
    <x v="3"/>
    <x v="7"/>
    <x v="0"/>
    <x v="1"/>
    <x v="4"/>
    <x v="2"/>
    <n v="11.87"/>
    <n v="11"/>
    <n v="0"/>
    <n v="130.57"/>
    <n v="0"/>
    <n v="130.57"/>
    <x v="536"/>
    <n v="80.949999999999989"/>
  </r>
  <r>
    <s v="ORD-10172"/>
    <n v="44929"/>
    <x v="0"/>
    <x v="1"/>
    <x v="1"/>
    <x v="1"/>
    <x v="1"/>
    <x v="1"/>
    <x v="9"/>
    <x v="3"/>
    <x v="3"/>
    <x v="3"/>
    <n v="385.19"/>
    <n v="8"/>
    <n v="0.05"/>
    <n v="3081.52"/>
    <n v="154.07600000000002"/>
    <n v="2927.444"/>
    <x v="537"/>
    <n v="1522.2739999999999"/>
  </r>
  <r>
    <s v="ORD-10050"/>
    <n v="45144"/>
    <x v="0"/>
    <x v="0"/>
    <x v="12"/>
    <x v="1"/>
    <x v="4"/>
    <x v="4"/>
    <x v="8"/>
    <x v="2"/>
    <x v="4"/>
    <x v="1"/>
    <n v="46.13"/>
    <n v="1"/>
    <n v="0.05"/>
    <n v="46.13"/>
    <n v="2.3065000000000002"/>
    <n v="43.823500000000003"/>
    <x v="538"/>
    <n v="16.653500000000001"/>
  </r>
  <r>
    <s v="ORD-10940"/>
    <n v="44950"/>
    <x v="0"/>
    <x v="0"/>
    <x v="9"/>
    <x v="1"/>
    <x v="0"/>
    <x v="16"/>
    <x v="11"/>
    <x v="2"/>
    <x v="0"/>
    <x v="0"/>
    <s v="N/A"/>
    <n v="14"/>
    <n v="0"/>
    <n v="0"/>
    <n v="0"/>
    <n v="0"/>
    <x v="9"/>
    <e v="#VALUE!"/>
  </r>
  <r>
    <s v="ORD-10314"/>
    <n v="44720"/>
    <x v="0"/>
    <x v="0"/>
    <x v="9"/>
    <x v="2"/>
    <x v="1"/>
    <x v="1"/>
    <x v="10"/>
    <x v="1"/>
    <x v="3"/>
    <x v="1"/>
    <n v="332.09"/>
    <n v="3"/>
    <n v="0.15"/>
    <n v="996.27"/>
    <n v="149.44049999999999"/>
    <n v="846.82950000000005"/>
    <x v="539"/>
    <n v="440.34950000000003"/>
  </r>
  <r>
    <s v="ORD-10861"/>
    <n v="44737"/>
    <x v="0"/>
    <x v="1"/>
    <x v="5"/>
    <x v="3"/>
    <x v="2"/>
    <x v="4"/>
    <x v="4"/>
    <x v="1"/>
    <x v="0"/>
    <x v="2"/>
    <n v="39.4"/>
    <n v="6"/>
    <n v="0"/>
    <n v="236.39999999999998"/>
    <n v="0"/>
    <n v="236.39999999999998"/>
    <x v="540"/>
    <n v="137.10999999999996"/>
  </r>
  <r>
    <s v="ORD-10558"/>
    <n v="45055"/>
    <x v="0"/>
    <x v="1"/>
    <x v="1"/>
    <x v="3"/>
    <x v="2"/>
    <x v="10"/>
    <x v="7"/>
    <x v="3"/>
    <x v="3"/>
    <x v="1"/>
    <n v="52.41"/>
    <n v="8"/>
    <n v="0"/>
    <n v="419.28"/>
    <n v="0"/>
    <n v="419.28"/>
    <x v="541"/>
    <n v="243.17999999999998"/>
  </r>
  <r>
    <s v="ORD-11034"/>
    <n v="44573"/>
    <x v="0"/>
    <x v="1"/>
    <x v="5"/>
    <x v="2"/>
    <x v="4"/>
    <x v="11"/>
    <x v="0"/>
    <x v="2"/>
    <x v="1"/>
    <x v="3"/>
    <n v="750.6"/>
    <n v="4"/>
    <n v="0.05"/>
    <n v="3002.4"/>
    <n v="150.12"/>
    <n v="2852.28"/>
    <x v="542"/>
    <n v="1083.8700000000001"/>
  </r>
  <r>
    <s v="ORD-10928"/>
    <n v="45155"/>
    <x v="0"/>
    <x v="2"/>
    <x v="3"/>
    <x v="3"/>
    <x v="3"/>
    <x v="14"/>
    <x v="8"/>
    <x v="3"/>
    <x v="4"/>
    <x v="1"/>
    <n v="7.49"/>
    <n v="13"/>
    <n v="0.15"/>
    <n v="97.37"/>
    <n v="14.605499999999999"/>
    <n v="82.764499999999998"/>
    <x v="543"/>
    <n v="51.314499999999995"/>
  </r>
  <r>
    <s v="ORD-10968"/>
    <n v="44630"/>
    <x v="0"/>
    <x v="1"/>
    <x v="1"/>
    <x v="3"/>
    <x v="1"/>
    <x v="18"/>
    <x v="0"/>
    <x v="0"/>
    <x v="3"/>
    <x v="1"/>
    <n v="409.99"/>
    <n v="3"/>
    <n v="0"/>
    <n v="1229.97"/>
    <n v="0"/>
    <n v="1229.97"/>
    <x v="544"/>
    <n v="639.58000000000004"/>
  </r>
  <r>
    <s v="ORD-10728"/>
    <n v="44764"/>
    <x v="0"/>
    <x v="4"/>
    <x v="14"/>
    <x v="1"/>
    <x v="4"/>
    <x v="9"/>
    <x v="0"/>
    <x v="0"/>
    <x v="0"/>
    <x v="0"/>
    <n v="688.28"/>
    <n v="3"/>
    <n v="0.2"/>
    <n v="2064.84"/>
    <n v="412.96800000000007"/>
    <n v="1651.8720000000001"/>
    <x v="545"/>
    <n v="627.71199999999999"/>
  </r>
  <r>
    <s v="ORD-10124"/>
    <n v="44625"/>
    <x v="0"/>
    <x v="4"/>
    <x v="10"/>
    <x v="0"/>
    <x v="1"/>
    <x v="18"/>
    <x v="2"/>
    <x v="0"/>
    <x v="3"/>
    <x v="2"/>
    <n v="554.70000000000005"/>
    <n v="8"/>
    <n v="0.1"/>
    <n v="4437.6000000000004"/>
    <n v="443.76000000000005"/>
    <n v="3993.84"/>
    <x v="546"/>
    <n v="2076.8000000000002"/>
  </r>
  <r>
    <s v="ORD-10385"/>
    <n v="44845"/>
    <x v="0"/>
    <x v="3"/>
    <x v="11"/>
    <x v="1"/>
    <x v="3"/>
    <x v="23"/>
    <x v="5"/>
    <x v="1"/>
    <x v="0"/>
    <x v="1"/>
    <n v="18.100000000000001"/>
    <n v="2"/>
    <n v="0"/>
    <n v="36.200000000000003"/>
    <n v="0"/>
    <n v="36.200000000000003"/>
    <x v="547"/>
    <n v="22.440000000000005"/>
  </r>
  <r>
    <s v="ORD-10605"/>
    <n v="44711"/>
    <x v="0"/>
    <x v="3"/>
    <x v="8"/>
    <x v="0"/>
    <x v="0"/>
    <x v="0"/>
    <x v="0"/>
    <x v="1"/>
    <x v="4"/>
    <x v="2"/>
    <n v="16.95"/>
    <n v="8"/>
    <n v="0"/>
    <n v="135.6"/>
    <n v="0"/>
    <n v="135.6"/>
    <x v="548"/>
    <n v="61.019999999999996"/>
  </r>
  <r>
    <s v="ORD-10559"/>
    <n v="44701"/>
    <x v="0"/>
    <x v="3"/>
    <x v="8"/>
    <x v="0"/>
    <x v="1"/>
    <x v="1"/>
    <x v="11"/>
    <x v="1"/>
    <x v="3"/>
    <x v="3"/>
    <n v="397.7"/>
    <n v="7"/>
    <n v="0.05"/>
    <n v="2783.9"/>
    <n v="139.19500000000002"/>
    <n v="2644.7049999999999"/>
    <x v="549"/>
    <n v="1375.2449999999999"/>
  </r>
  <r>
    <s v="ORD-10650"/>
    <n v="45009"/>
    <x v="0"/>
    <x v="0"/>
    <x v="0"/>
    <x v="2"/>
    <x v="0"/>
    <x v="20"/>
    <x v="0"/>
    <x v="1"/>
    <x v="2"/>
    <x v="3"/>
    <n v="24.12"/>
    <n v="14"/>
    <n v="0"/>
    <n v="337.68"/>
    <n v="0"/>
    <n v="337.68"/>
    <x v="550"/>
    <n v="151.96"/>
  </r>
  <r>
    <s v="ORD-11028"/>
    <n v="44737"/>
    <x v="0"/>
    <x v="0"/>
    <x v="9"/>
    <x v="3"/>
    <x v="0"/>
    <x v="0"/>
    <x v="4"/>
    <x v="0"/>
    <x v="2"/>
    <x v="1"/>
    <n v="14.02"/>
    <n v="5"/>
    <n v="0.05"/>
    <n v="70.099999999999994"/>
    <n v="3.5049999999999999"/>
    <n v="66.594999999999999"/>
    <x v="551"/>
    <n v="29.964999999999996"/>
  </r>
  <r>
    <s v="ORD-10807"/>
    <n v="45109"/>
    <x v="0"/>
    <x v="2"/>
    <x v="6"/>
    <x v="0"/>
    <x v="4"/>
    <x v="4"/>
    <x v="1"/>
    <x v="3"/>
    <x v="1"/>
    <x v="1"/>
    <n v="52.6"/>
    <n v="3"/>
    <n v="0.15"/>
    <n v="157.80000000000001"/>
    <n v="23.67"/>
    <n v="134.13"/>
    <x v="306"/>
    <n v="50.97"/>
  </r>
  <r>
    <s v="ORD-10325"/>
    <n v="45085"/>
    <x v="0"/>
    <x v="2"/>
    <x v="4"/>
    <x v="3"/>
    <x v="0"/>
    <x v="0"/>
    <x v="0"/>
    <x v="1"/>
    <x v="4"/>
    <x v="1"/>
    <n v="13.58"/>
    <n v="12"/>
    <n v="0.1"/>
    <n v="162.96"/>
    <n v="16.296000000000003"/>
    <n v="146.66400000000002"/>
    <x v="552"/>
    <n v="66.004000000000019"/>
  </r>
  <r>
    <s v="ORD-10525"/>
    <n v="44928"/>
    <x v="0"/>
    <x v="1"/>
    <x v="5"/>
    <x v="0"/>
    <x v="4"/>
    <x v="9"/>
    <x v="7"/>
    <x v="0"/>
    <x v="1"/>
    <x v="3"/>
    <n v="520.54"/>
    <n v="1"/>
    <n v="0"/>
    <n v="520.54"/>
    <n v="0"/>
    <n v="520.54"/>
    <x v="553"/>
    <n v="197.80999999999995"/>
  </r>
  <r>
    <s v="ORD-10923"/>
    <n v="45249"/>
    <x v="0"/>
    <x v="2"/>
    <x v="3"/>
    <x v="3"/>
    <x v="1"/>
    <x v="1"/>
    <x v="0"/>
    <x v="1"/>
    <x v="4"/>
    <x v="1"/>
    <n v="353.42"/>
    <n v="5"/>
    <n v="0.2"/>
    <n v="1767.1000000000001"/>
    <n v="353.42000000000007"/>
    <n v="1413.68"/>
    <x v="554"/>
    <n v="735.11"/>
  </r>
  <r>
    <s v="ORD-10432"/>
    <n v="45094"/>
    <x v="0"/>
    <x v="4"/>
    <x v="14"/>
    <x v="1"/>
    <x v="3"/>
    <x v="23"/>
    <x v="3"/>
    <x v="1"/>
    <x v="2"/>
    <x v="1"/>
    <n v="16.13"/>
    <n v="10"/>
    <n v="0.05"/>
    <n v="161.29999999999998"/>
    <n v="8.0649999999999995"/>
    <n v="153.23499999999999"/>
    <x v="555"/>
    <n v="95.004999999999995"/>
  </r>
  <r>
    <s v="ORD-10224"/>
    <n v="45283"/>
    <x v="0"/>
    <x v="4"/>
    <x v="14"/>
    <x v="2"/>
    <x v="3"/>
    <x v="6"/>
    <x v="3"/>
    <x v="0"/>
    <x v="2"/>
    <x v="3"/>
    <n v="302.97000000000003"/>
    <n v="16"/>
    <n v="0.1"/>
    <n v="4847.5200000000004"/>
    <n v="484.75200000000007"/>
    <n v="4362.768"/>
    <x v="556"/>
    <n v="2704.9180000000001"/>
  </r>
  <r>
    <s v="ORD-10115"/>
    <n v="44871"/>
    <x v="0"/>
    <x v="3"/>
    <x v="8"/>
    <x v="1"/>
    <x v="2"/>
    <x v="17"/>
    <x v="10"/>
    <x v="1"/>
    <x v="2"/>
    <x v="1"/>
    <n v="111.79"/>
    <n v="8"/>
    <n v="0"/>
    <n v="894.32"/>
    <n v="0"/>
    <n v="894.32"/>
    <x v="557"/>
    <n v="518.71"/>
  </r>
  <r>
    <s v="ORD-10388"/>
    <n v="45008"/>
    <x v="0"/>
    <x v="3"/>
    <x v="11"/>
    <x v="1"/>
    <x v="4"/>
    <x v="22"/>
    <x v="6"/>
    <x v="1"/>
    <x v="4"/>
    <x v="3"/>
    <n v="314.47000000000003"/>
    <n v="6"/>
    <n v="0"/>
    <n v="1886.8200000000002"/>
    <n v="0"/>
    <n v="1886.8200000000002"/>
    <x v="558"/>
    <n v="716.99000000000024"/>
  </r>
  <r>
    <s v="ORD-10000"/>
    <n v="45216"/>
    <x v="0"/>
    <x v="1"/>
    <x v="2"/>
    <x v="2"/>
    <x v="3"/>
    <x v="19"/>
    <x v="6"/>
    <x v="4"/>
    <x v="2"/>
    <x v="3"/>
    <n v="27.15"/>
    <n v="2"/>
    <n v="0"/>
    <n v="54.3"/>
    <n v="0"/>
    <n v="54.3"/>
    <x v="559"/>
    <n v="33.67"/>
  </r>
  <r>
    <s v="ORD-10167"/>
    <n v="45025"/>
    <x v="0"/>
    <x v="0"/>
    <x v="9"/>
    <x v="2"/>
    <x v="3"/>
    <x v="14"/>
    <x v="8"/>
    <x v="1"/>
    <x v="2"/>
    <x v="1"/>
    <n v="8.9700000000000006"/>
    <n v="6"/>
    <n v="0.15"/>
    <n v="53.820000000000007"/>
    <n v="8.0730000000000004"/>
    <n v="45.747000000000007"/>
    <x v="560"/>
    <n v="28.357000000000006"/>
  </r>
  <r>
    <s v="ORD-10080"/>
    <n v="44708"/>
    <x v="0"/>
    <x v="2"/>
    <x v="4"/>
    <x v="3"/>
    <x v="2"/>
    <x v="10"/>
    <x v="5"/>
    <x v="1"/>
    <x v="2"/>
    <x v="3"/>
    <n v="55.03"/>
    <n v="8"/>
    <n v="0"/>
    <n v="440.24"/>
    <n v="0"/>
    <n v="440.24"/>
    <x v="561"/>
    <n v="255.34"/>
  </r>
  <r>
    <s v="ORD-10904"/>
    <n v="45018"/>
    <x v="0"/>
    <x v="1"/>
    <x v="5"/>
    <x v="2"/>
    <x v="4"/>
    <x v="13"/>
    <x v="1"/>
    <x v="2"/>
    <x v="3"/>
    <x v="3"/>
    <n v="431.07"/>
    <n v="6"/>
    <n v="0.05"/>
    <n v="2586.42"/>
    <n v="129.321"/>
    <n v="2457.0990000000002"/>
    <x v="562"/>
    <n v="933.69900000000007"/>
  </r>
  <r>
    <s v="ORD-10209"/>
    <n v="45280"/>
    <x v="0"/>
    <x v="2"/>
    <x v="3"/>
    <x v="3"/>
    <x v="0"/>
    <x v="20"/>
    <x v="5"/>
    <x v="3"/>
    <x v="0"/>
    <x v="0"/>
    <n v="24.33"/>
    <n v="4"/>
    <n v="0.05"/>
    <n v="97.32"/>
    <n v="4.8659999999999997"/>
    <n v="92.453999999999994"/>
    <x v="563"/>
    <n v="41.603999999999992"/>
  </r>
  <r>
    <s v="ORD-10010"/>
    <n v="45114"/>
    <x v="0"/>
    <x v="4"/>
    <x v="10"/>
    <x v="1"/>
    <x v="3"/>
    <x v="6"/>
    <x v="4"/>
    <x v="2"/>
    <x v="4"/>
    <x v="0"/>
    <n v="287.49"/>
    <n v="8"/>
    <n v="0"/>
    <n v="2299.92"/>
    <n v="0"/>
    <n v="2299.92"/>
    <x v="564"/>
    <n v="1425.95"/>
  </r>
  <r>
    <s v="ORD-10475"/>
    <n v="45283"/>
    <x v="0"/>
    <x v="0"/>
    <x v="12"/>
    <x v="0"/>
    <x v="0"/>
    <x v="16"/>
    <x v="4"/>
    <x v="0"/>
    <x v="3"/>
    <x v="1"/>
    <n v="14.84"/>
    <n v="28"/>
    <n v="0.2"/>
    <n v="415.52"/>
    <n v="83.103999999999999"/>
    <n v="332.416"/>
    <x v="565"/>
    <n v="149.58599999999998"/>
  </r>
  <r>
    <s v="ORD-10081"/>
    <n v="45172"/>
    <x v="0"/>
    <x v="1"/>
    <x v="2"/>
    <x v="1"/>
    <x v="1"/>
    <x v="1"/>
    <x v="1"/>
    <x v="1"/>
    <x v="2"/>
    <x v="1"/>
    <n v="423.61"/>
    <n v="8"/>
    <n v="0.1"/>
    <n v="3388.88"/>
    <n v="338.88800000000003"/>
    <n v="3049.9920000000002"/>
    <x v="566"/>
    <n v="1585.9920000000002"/>
  </r>
  <r>
    <s v="ORD-10752"/>
    <n v="45287"/>
    <x v="0"/>
    <x v="3"/>
    <x v="11"/>
    <x v="3"/>
    <x v="0"/>
    <x v="20"/>
    <x v="0"/>
    <x v="0"/>
    <x v="2"/>
    <x v="2"/>
    <n v="25.36"/>
    <n v="6"/>
    <n v="0.1"/>
    <n v="152.16"/>
    <n v="15.216000000000001"/>
    <n v="136.94399999999999"/>
    <x v="567"/>
    <n v="61.623999999999995"/>
  </r>
  <r>
    <s v="ORD-10478"/>
    <n v="44710"/>
    <x v="0"/>
    <x v="4"/>
    <x v="14"/>
    <x v="1"/>
    <x v="0"/>
    <x v="0"/>
    <x v="0"/>
    <x v="2"/>
    <x v="4"/>
    <x v="1"/>
    <n v="15.28"/>
    <n v="4"/>
    <n v="0"/>
    <n v="61.12"/>
    <n v="0"/>
    <n v="61.12"/>
    <x v="568"/>
    <n v="27.5"/>
  </r>
  <r>
    <s v="ORD-10955"/>
    <n v="44814"/>
    <x v="0"/>
    <x v="4"/>
    <x v="10"/>
    <x v="1"/>
    <x v="3"/>
    <x v="19"/>
    <x v="4"/>
    <x v="0"/>
    <x v="0"/>
    <x v="1"/>
    <n v="26.09"/>
    <n v="9"/>
    <n v="0.1"/>
    <n v="234.81"/>
    <n v="23.481000000000002"/>
    <n v="211.32900000000001"/>
    <x v="569"/>
    <n v="131.01900000000001"/>
  </r>
  <r>
    <s v="ORD-10410"/>
    <n v="44754"/>
    <x v="0"/>
    <x v="3"/>
    <x v="8"/>
    <x v="3"/>
    <x v="4"/>
    <x v="4"/>
    <x v="5"/>
    <x v="2"/>
    <x v="2"/>
    <x v="1"/>
    <n v="43.22"/>
    <n v="3"/>
    <n v="0.05"/>
    <n v="129.66"/>
    <n v="6.4830000000000005"/>
    <n v="123.17699999999999"/>
    <x v="570"/>
    <n v="46.806999999999988"/>
  </r>
  <r>
    <s v="ORD-10353"/>
    <n v="45186"/>
    <x v="0"/>
    <x v="4"/>
    <x v="10"/>
    <x v="2"/>
    <x v="3"/>
    <x v="19"/>
    <x v="11"/>
    <x v="1"/>
    <x v="2"/>
    <x v="2"/>
    <n v="28.62"/>
    <n v="7"/>
    <n v="0.2"/>
    <n v="200.34"/>
    <n v="40.068000000000005"/>
    <n v="160.27199999999999"/>
    <x v="571"/>
    <n v="99.371999999999986"/>
  </r>
  <r>
    <s v="ORD-10700"/>
    <n v="45257"/>
    <x v="0"/>
    <x v="3"/>
    <x v="7"/>
    <x v="2"/>
    <x v="1"/>
    <x v="1"/>
    <x v="0"/>
    <x v="4"/>
    <x v="4"/>
    <x v="2"/>
    <n v="332.41"/>
    <n v="5"/>
    <n v="0"/>
    <n v="1662.0500000000002"/>
    <n v="0"/>
    <n v="1662.0500000000002"/>
    <x v="572"/>
    <n v="864.27000000000021"/>
  </r>
  <r>
    <s v="ORD-10175"/>
    <n v="45164"/>
    <x v="0"/>
    <x v="0"/>
    <x v="0"/>
    <x v="3"/>
    <x v="0"/>
    <x v="16"/>
    <x v="5"/>
    <x v="3"/>
    <x v="1"/>
    <x v="1"/>
    <n v="14.07"/>
    <n v="19"/>
    <n v="0"/>
    <n v="267.33"/>
    <n v="0"/>
    <n v="267.33"/>
    <x v="573"/>
    <n v="120.29999999999998"/>
  </r>
  <r>
    <s v="ORD-10366"/>
    <n v="44671"/>
    <x v="0"/>
    <x v="0"/>
    <x v="0"/>
    <x v="1"/>
    <x v="4"/>
    <x v="13"/>
    <x v="3"/>
    <x v="0"/>
    <x v="4"/>
    <x v="0"/>
    <n v="378.17"/>
    <n v="4"/>
    <n v="0.1"/>
    <n v="1512.68"/>
    <n v="151.268"/>
    <n v="1361.412"/>
    <x v="574"/>
    <n v="517.34199999999998"/>
  </r>
  <r>
    <s v="ORD-10726"/>
    <n v="44981"/>
    <x v="0"/>
    <x v="0"/>
    <x v="9"/>
    <x v="1"/>
    <x v="3"/>
    <x v="7"/>
    <x v="3"/>
    <x v="1"/>
    <x v="0"/>
    <x v="3"/>
    <n v="13.11"/>
    <n v="15"/>
    <n v="0.2"/>
    <n v="196.64999999999998"/>
    <n v="39.33"/>
    <n v="157.32"/>
    <x v="575"/>
    <n v="97.539999999999992"/>
  </r>
  <r>
    <s v="ORD-10135"/>
    <n v="45172"/>
    <x v="0"/>
    <x v="1"/>
    <x v="5"/>
    <x v="2"/>
    <x v="2"/>
    <x v="4"/>
    <x v="8"/>
    <x v="2"/>
    <x v="2"/>
    <x v="0"/>
    <n v="39.36"/>
    <n v="4"/>
    <n v="0.1"/>
    <n v="157.44"/>
    <n v="15.744"/>
    <n v="141.696"/>
    <x v="576"/>
    <n v="82.186000000000007"/>
  </r>
  <r>
    <s v="ORD-10848"/>
    <n v="45068"/>
    <x v="0"/>
    <x v="3"/>
    <x v="7"/>
    <x v="0"/>
    <x v="4"/>
    <x v="11"/>
    <x v="7"/>
    <x v="2"/>
    <x v="0"/>
    <x v="3"/>
    <n v="865.18"/>
    <n v="5"/>
    <n v="0"/>
    <n v="4325.8999999999996"/>
    <n v="0"/>
    <n v="4325.8999999999996"/>
    <x v="577"/>
    <n v="1643.8399999999997"/>
  </r>
  <r>
    <s v="ORD-10237"/>
    <n v="44611"/>
    <x v="0"/>
    <x v="1"/>
    <x v="5"/>
    <x v="1"/>
    <x v="4"/>
    <x v="11"/>
    <x v="8"/>
    <x v="1"/>
    <x v="4"/>
    <x v="2"/>
    <n v="764.52"/>
    <n v="5"/>
    <n v="0.05"/>
    <n v="3822.6"/>
    <n v="191.13"/>
    <n v="3631.47"/>
    <x v="578"/>
    <n v="1379.9599999999996"/>
  </r>
  <r>
    <s v="ORD-10669"/>
    <n v="45194"/>
    <x v="0"/>
    <x v="1"/>
    <x v="2"/>
    <x v="1"/>
    <x v="1"/>
    <x v="2"/>
    <x v="11"/>
    <x v="4"/>
    <x v="2"/>
    <x v="1"/>
    <n v="206.92"/>
    <n v="2"/>
    <n v="0"/>
    <n v="413.84"/>
    <n v="0"/>
    <n v="413.84"/>
    <x v="579"/>
    <n v="215.2"/>
  </r>
  <r>
    <s v="ORD-10207"/>
    <n v="44910"/>
    <x v="0"/>
    <x v="4"/>
    <x v="14"/>
    <x v="0"/>
    <x v="4"/>
    <x v="11"/>
    <x v="5"/>
    <x v="3"/>
    <x v="1"/>
    <x v="1"/>
    <n v="1049.0899999999999"/>
    <n v="6"/>
    <n v="0.15"/>
    <n v="6294.5399999999991"/>
    <n v="944.18099999999981"/>
    <n v="5350.3589999999995"/>
    <x v="580"/>
    <n v="2033.1389999999997"/>
  </r>
  <r>
    <s v="ORD-10203"/>
    <n v="45100"/>
    <x v="0"/>
    <x v="4"/>
    <x v="10"/>
    <x v="1"/>
    <x v="0"/>
    <x v="20"/>
    <x v="9"/>
    <x v="2"/>
    <x v="4"/>
    <x v="0"/>
    <n v="21.73"/>
    <n v="19"/>
    <n v="0.1"/>
    <n v="412.87"/>
    <n v="41.287000000000006"/>
    <n v="371.58299999999997"/>
    <x v="581"/>
    <n v="167.21299999999997"/>
  </r>
  <r>
    <s v="ORD-10824"/>
    <n v="45271"/>
    <x v="0"/>
    <x v="3"/>
    <x v="8"/>
    <x v="2"/>
    <x v="2"/>
    <x v="4"/>
    <x v="7"/>
    <x v="1"/>
    <x v="3"/>
    <x v="2"/>
    <n v="38.4"/>
    <n v="6"/>
    <n v="0.05"/>
    <n v="230.39999999999998"/>
    <n v="11.52"/>
    <n v="218.87999999999997"/>
    <x v="582"/>
    <n v="126.94999999999996"/>
  </r>
  <r>
    <s v="ORD-11011"/>
    <n v="44622"/>
    <x v="0"/>
    <x v="3"/>
    <x v="8"/>
    <x v="3"/>
    <x v="0"/>
    <x v="16"/>
    <x v="6"/>
    <x v="3"/>
    <x v="0"/>
    <x v="1"/>
    <n v="12.14"/>
    <n v="19"/>
    <n v="0.05"/>
    <n v="230.66000000000003"/>
    <n v="11.533000000000001"/>
    <n v="219.12700000000001"/>
    <x v="583"/>
    <n v="98.607000000000014"/>
  </r>
  <r>
    <s v="ORD-10623"/>
    <n v="44833"/>
    <x v="0"/>
    <x v="1"/>
    <x v="2"/>
    <x v="1"/>
    <x v="1"/>
    <x v="1"/>
    <x v="2"/>
    <x v="4"/>
    <x v="4"/>
    <x v="2"/>
    <n v="446.83"/>
    <n v="2"/>
    <n v="0.1"/>
    <n v="893.66"/>
    <n v="89.366"/>
    <n v="804.29399999999998"/>
    <x v="584"/>
    <n v="418.23399999999998"/>
  </r>
  <r>
    <s v="ORD-10546"/>
    <n v="45123"/>
    <x v="0"/>
    <x v="4"/>
    <x v="10"/>
    <x v="2"/>
    <x v="2"/>
    <x v="5"/>
    <x v="10"/>
    <x v="2"/>
    <x v="1"/>
    <x v="1"/>
    <n v="76.5"/>
    <n v="3"/>
    <n v="0"/>
    <n v="229.5"/>
    <n v="0"/>
    <n v="229.5"/>
    <x v="585"/>
    <n v="133.11000000000001"/>
  </r>
  <r>
    <s v="ORD-10536"/>
    <n v="45276"/>
    <x v="0"/>
    <x v="3"/>
    <x v="8"/>
    <x v="3"/>
    <x v="2"/>
    <x v="15"/>
    <x v="3"/>
    <x v="1"/>
    <x v="0"/>
    <x v="1"/>
    <n v="155.56"/>
    <n v="1"/>
    <n v="0.05"/>
    <n v="155.56"/>
    <n v="7.7780000000000005"/>
    <n v="147.78200000000001"/>
    <x v="586"/>
    <n v="85.712000000000018"/>
  </r>
  <r>
    <s v="ORD-10406"/>
    <n v="45203"/>
    <x v="0"/>
    <x v="3"/>
    <x v="11"/>
    <x v="0"/>
    <x v="4"/>
    <x v="11"/>
    <x v="9"/>
    <x v="2"/>
    <x v="3"/>
    <x v="1"/>
    <n v="867.31"/>
    <n v="5"/>
    <n v="0.15"/>
    <n v="4336.5499999999993"/>
    <n v="650.48249999999985"/>
    <n v="3686.0674999999992"/>
    <x v="587"/>
    <n v="1400.7074999999991"/>
  </r>
  <r>
    <s v="ORD-10805"/>
    <n v="45225"/>
    <x v="0"/>
    <x v="4"/>
    <x v="10"/>
    <x v="2"/>
    <x v="2"/>
    <x v="5"/>
    <x v="10"/>
    <x v="0"/>
    <x v="2"/>
    <x v="3"/>
    <n v="69.09"/>
    <n v="5"/>
    <n v="0"/>
    <n v="345.45000000000005"/>
    <n v="0"/>
    <n v="345.45000000000005"/>
    <x v="588"/>
    <n v="200.36000000000004"/>
  </r>
  <r>
    <s v="ORD-10269"/>
    <n v="44898"/>
    <x v="0"/>
    <x v="2"/>
    <x v="4"/>
    <x v="0"/>
    <x v="3"/>
    <x v="7"/>
    <x v="5"/>
    <x v="3"/>
    <x v="3"/>
    <x v="1"/>
    <n v="14.8"/>
    <n v="6"/>
    <n v="0"/>
    <n v="88.800000000000011"/>
    <n v="0"/>
    <n v="88.800000000000011"/>
    <x v="589"/>
    <n v="55.060000000000009"/>
  </r>
  <r>
    <s v="ORD-10068"/>
    <n v="45037"/>
    <x v="0"/>
    <x v="0"/>
    <x v="0"/>
    <x v="1"/>
    <x v="2"/>
    <x v="10"/>
    <x v="5"/>
    <x v="1"/>
    <x v="2"/>
    <x v="1"/>
    <n v="49.3"/>
    <n v="4"/>
    <n v="0.1"/>
    <n v="197.2"/>
    <n v="19.72"/>
    <n v="177.48"/>
    <x v="590"/>
    <n v="102.93999999999998"/>
  </r>
  <r>
    <s v="ORD-10860"/>
    <n v="45110"/>
    <x v="0"/>
    <x v="0"/>
    <x v="9"/>
    <x v="1"/>
    <x v="0"/>
    <x v="0"/>
    <x v="8"/>
    <x v="2"/>
    <x v="3"/>
    <x v="1"/>
    <n v="14.36"/>
    <n v="27"/>
    <n v="0"/>
    <n v="387.71999999999997"/>
    <n v="0"/>
    <n v="387.71999999999997"/>
    <x v="591"/>
    <n v="174.46999999999997"/>
  </r>
  <r>
    <s v="ORD-11026"/>
    <n v="44661"/>
    <x v="0"/>
    <x v="2"/>
    <x v="6"/>
    <x v="2"/>
    <x v="3"/>
    <x v="19"/>
    <x v="5"/>
    <x v="4"/>
    <x v="1"/>
    <x v="3"/>
    <n v="28.57"/>
    <n v="7"/>
    <n v="0.2"/>
    <n v="199.99"/>
    <n v="39.998000000000005"/>
    <n v="159.99200000000002"/>
    <x v="592"/>
    <n v="99.192000000000021"/>
  </r>
  <r>
    <s v="ORD-10164"/>
    <n v="45270"/>
    <x v="0"/>
    <x v="3"/>
    <x v="11"/>
    <x v="2"/>
    <x v="4"/>
    <x v="13"/>
    <x v="8"/>
    <x v="3"/>
    <x v="3"/>
    <x v="3"/>
    <n v="357.5"/>
    <n v="4"/>
    <n v="0.15"/>
    <n v="1430"/>
    <n v="214.5"/>
    <n v="1215.5"/>
    <x v="593"/>
    <n v="461.89"/>
  </r>
  <r>
    <s v="ORD-10995"/>
    <n v="45167"/>
    <x v="0"/>
    <x v="2"/>
    <x v="3"/>
    <x v="1"/>
    <x v="0"/>
    <x v="16"/>
    <x v="11"/>
    <x v="2"/>
    <x v="0"/>
    <x v="1"/>
    <n v="13.03"/>
    <n v="26"/>
    <n v="0"/>
    <n v="338.78"/>
    <n v="0"/>
    <n v="338.78"/>
    <x v="594"/>
    <n v="152.44999999999996"/>
  </r>
  <r>
    <s v="ORD-10840"/>
    <n v="45030"/>
    <x v="0"/>
    <x v="1"/>
    <x v="2"/>
    <x v="1"/>
    <x v="0"/>
    <x v="3"/>
    <x v="5"/>
    <x v="2"/>
    <x v="0"/>
    <x v="2"/>
    <n v="19.28"/>
    <n v="3"/>
    <n v="0.2"/>
    <n v="57.84"/>
    <n v="11.568000000000001"/>
    <n v="46.272000000000006"/>
    <x v="595"/>
    <n v="20.822000000000006"/>
  </r>
  <r>
    <s v="ORD-10485"/>
    <n v="44716"/>
    <x v="0"/>
    <x v="2"/>
    <x v="4"/>
    <x v="2"/>
    <x v="4"/>
    <x v="11"/>
    <x v="10"/>
    <x v="0"/>
    <x v="2"/>
    <x v="1"/>
    <n v="1002.53"/>
    <n v="1"/>
    <n v="0.1"/>
    <n v="1002.53"/>
    <n v="100.253"/>
    <n v="902.27699999999993"/>
    <x v="596"/>
    <n v="342.86699999999996"/>
  </r>
  <r>
    <s v="ORD-10503"/>
    <n v="44663"/>
    <x v="0"/>
    <x v="2"/>
    <x v="6"/>
    <x v="0"/>
    <x v="3"/>
    <x v="19"/>
    <x v="5"/>
    <x v="2"/>
    <x v="2"/>
    <x v="1"/>
    <n v="30.77"/>
    <n v="22"/>
    <n v="0"/>
    <n v="676.93999999999994"/>
    <n v="0"/>
    <n v="676.93999999999994"/>
    <x v="597"/>
    <n v="419.69999999999993"/>
  </r>
  <r>
    <s v="ORD-10094"/>
    <n v="44731"/>
    <x v="0"/>
    <x v="3"/>
    <x v="8"/>
    <x v="0"/>
    <x v="2"/>
    <x v="17"/>
    <x v="4"/>
    <x v="4"/>
    <x v="4"/>
    <x v="0"/>
    <n v="126.61"/>
    <n v="8"/>
    <n v="0"/>
    <n v="1012.88"/>
    <n v="0"/>
    <n v="1012.88"/>
    <x v="598"/>
    <n v="587.47"/>
  </r>
  <r>
    <s v="ORD-10568"/>
    <n v="44807"/>
    <x v="0"/>
    <x v="0"/>
    <x v="0"/>
    <x v="2"/>
    <x v="2"/>
    <x v="15"/>
    <x v="1"/>
    <x v="1"/>
    <x v="0"/>
    <x v="1"/>
    <n v="136.19999999999999"/>
    <n v="7"/>
    <n v="0.15"/>
    <n v="953.39999999999986"/>
    <n v="143.00999999999996"/>
    <n v="810.38999999999987"/>
    <x v="599"/>
    <n v="470.02999999999986"/>
  </r>
  <r>
    <s v="ORD-10019"/>
    <n v="45231"/>
    <x v="0"/>
    <x v="2"/>
    <x v="6"/>
    <x v="2"/>
    <x v="0"/>
    <x v="3"/>
    <x v="4"/>
    <x v="1"/>
    <x v="1"/>
    <x v="1"/>
    <n v="21.71"/>
    <n v="24"/>
    <n v="0.1"/>
    <n v="521.04"/>
    <n v="52.103999999999999"/>
    <n v="468.93599999999998"/>
    <x v="600"/>
    <n v="211.01599999999996"/>
  </r>
  <r>
    <s v="ORD-10787"/>
    <n v="44825"/>
    <x v="0"/>
    <x v="1"/>
    <x v="1"/>
    <x v="3"/>
    <x v="4"/>
    <x v="9"/>
    <x v="1"/>
    <x v="2"/>
    <x v="0"/>
    <x v="0"/>
    <n v="676.62"/>
    <n v="1"/>
    <n v="0"/>
    <n v="676.62"/>
    <n v="0"/>
    <n v="676.62"/>
    <x v="601"/>
    <n v="257.12"/>
  </r>
  <r>
    <s v="ORD-10140"/>
    <n v="44677"/>
    <x v="0"/>
    <x v="1"/>
    <x v="5"/>
    <x v="2"/>
    <x v="2"/>
    <x v="4"/>
    <x v="11"/>
    <x v="4"/>
    <x v="1"/>
    <x v="1"/>
    <n v="48.94"/>
    <n v="8"/>
    <n v="0.1"/>
    <n v="391.52"/>
    <n v="39.152000000000001"/>
    <n v="352.36799999999999"/>
    <x v="602"/>
    <n v="204.36799999999999"/>
  </r>
  <r>
    <s v="ORD-10610"/>
    <n v="44820"/>
    <x v="0"/>
    <x v="2"/>
    <x v="3"/>
    <x v="1"/>
    <x v="3"/>
    <x v="6"/>
    <x v="4"/>
    <x v="1"/>
    <x v="4"/>
    <x v="1"/>
    <n v="325.63"/>
    <n v="30"/>
    <n v="0.1"/>
    <n v="9768.9"/>
    <n v="976.89"/>
    <n v="8792.01"/>
    <x v="603"/>
    <n v="5451.05"/>
  </r>
  <r>
    <s v="ORD-10133"/>
    <n v="44573"/>
    <x v="0"/>
    <x v="0"/>
    <x v="0"/>
    <x v="3"/>
    <x v="3"/>
    <x v="19"/>
    <x v="11"/>
    <x v="1"/>
    <x v="4"/>
    <x v="1"/>
    <n v="25.3"/>
    <n v="17"/>
    <n v="0.15"/>
    <n v="430.1"/>
    <n v="64.515000000000001"/>
    <n v="365.58500000000004"/>
    <x v="604"/>
    <n v="226.66500000000005"/>
  </r>
  <r>
    <s v="ORD-10910"/>
    <n v="45267"/>
    <x v="0"/>
    <x v="4"/>
    <x v="14"/>
    <x v="1"/>
    <x v="0"/>
    <x v="16"/>
    <x v="0"/>
    <x v="1"/>
    <x v="4"/>
    <x v="1"/>
    <n v="11.38"/>
    <n v="11"/>
    <n v="0.15"/>
    <n v="125.18"/>
    <n v="18.777000000000001"/>
    <n v="106.40300000000001"/>
    <x v="605"/>
    <n v="47.883000000000003"/>
  </r>
  <r>
    <s v="ORD-10876"/>
    <n v="45231"/>
    <x v="0"/>
    <x v="0"/>
    <x v="12"/>
    <x v="1"/>
    <x v="4"/>
    <x v="4"/>
    <x v="9"/>
    <x v="0"/>
    <x v="0"/>
    <x v="1"/>
    <n v="42.81"/>
    <n v="1"/>
    <n v="0.15"/>
    <n v="42.81"/>
    <n v="6.4215"/>
    <n v="36.388500000000001"/>
    <x v="606"/>
    <n v="13.828500000000002"/>
  </r>
  <r>
    <s v="ORD-10143"/>
    <n v="44714"/>
    <x v="0"/>
    <x v="0"/>
    <x v="12"/>
    <x v="3"/>
    <x v="1"/>
    <x v="18"/>
    <x v="10"/>
    <x v="4"/>
    <x v="1"/>
    <x v="1"/>
    <n v="527.54"/>
    <n v="1"/>
    <n v="0.1"/>
    <n v="527.54"/>
    <n v="52.753999999999998"/>
    <n v="474.78599999999994"/>
    <x v="607"/>
    <n v="246.88599999999994"/>
  </r>
  <r>
    <s v="ORD-10459"/>
    <n v="44682"/>
    <x v="0"/>
    <x v="1"/>
    <x v="5"/>
    <x v="3"/>
    <x v="0"/>
    <x v="16"/>
    <x v="10"/>
    <x v="0"/>
    <x v="2"/>
    <x v="1"/>
    <n v="11.11"/>
    <n v="28"/>
    <n v="0.2"/>
    <n v="311.08"/>
    <n v="62.216000000000001"/>
    <n v="248.86399999999998"/>
    <x v="608"/>
    <n v="111.99399999999997"/>
  </r>
  <r>
    <s v="ORD-10059"/>
    <n v="45042"/>
    <x v="0"/>
    <x v="0"/>
    <x v="12"/>
    <x v="1"/>
    <x v="0"/>
    <x v="16"/>
    <x v="4"/>
    <x v="1"/>
    <x v="0"/>
    <x v="3"/>
    <n v="14.78"/>
    <n v="21"/>
    <n v="0.15"/>
    <n v="310.38"/>
    <n v="46.556999999999995"/>
    <n v="263.82299999999998"/>
    <x v="609"/>
    <n v="118.72299999999998"/>
  </r>
  <r>
    <s v="ORD-10166"/>
    <n v="44587"/>
    <x v="0"/>
    <x v="3"/>
    <x v="8"/>
    <x v="0"/>
    <x v="3"/>
    <x v="6"/>
    <x v="0"/>
    <x v="1"/>
    <x v="1"/>
    <x v="1"/>
    <n v="315.91000000000003"/>
    <n v="26"/>
    <n v="0"/>
    <n v="8213.66"/>
    <n v="0"/>
    <n v="8213.66"/>
    <x v="610"/>
    <n v="5092.4699999999993"/>
  </r>
  <r>
    <s v="ORD-10699"/>
    <n v="45100"/>
    <x v="0"/>
    <x v="0"/>
    <x v="9"/>
    <x v="1"/>
    <x v="3"/>
    <x v="7"/>
    <x v="1"/>
    <x v="2"/>
    <x v="3"/>
    <x v="0"/>
    <n v="10.52"/>
    <n v="1"/>
    <n v="0.2"/>
    <n v="10.52"/>
    <n v="2.1040000000000001"/>
    <n v="8.4160000000000004"/>
    <x v="611"/>
    <n v="5.2160000000000002"/>
  </r>
  <r>
    <s v="ORD-10288"/>
    <n v="44723"/>
    <x v="0"/>
    <x v="1"/>
    <x v="1"/>
    <x v="3"/>
    <x v="2"/>
    <x v="17"/>
    <x v="4"/>
    <x v="0"/>
    <x v="4"/>
    <x v="0"/>
    <n v="116.28"/>
    <n v="2"/>
    <n v="0"/>
    <n v="232.56"/>
    <n v="0"/>
    <n v="232.56"/>
    <x v="612"/>
    <n v="134.88"/>
  </r>
  <r>
    <s v="ORD-10613"/>
    <n v="44805"/>
    <x v="0"/>
    <x v="0"/>
    <x v="9"/>
    <x v="3"/>
    <x v="1"/>
    <x v="12"/>
    <x v="5"/>
    <x v="2"/>
    <x v="2"/>
    <x v="3"/>
    <n v="174.41"/>
    <n v="4"/>
    <n v="0.1"/>
    <n v="697.64"/>
    <n v="69.763999999999996"/>
    <n v="627.87599999999998"/>
    <x v="613"/>
    <n v="326.49599999999998"/>
  </r>
  <r>
    <s v="ORD-10662"/>
    <n v="44772"/>
    <x v="0"/>
    <x v="3"/>
    <x v="7"/>
    <x v="2"/>
    <x v="2"/>
    <x v="15"/>
    <x v="1"/>
    <x v="2"/>
    <x v="0"/>
    <x v="0"/>
    <n v="174.87"/>
    <n v="7"/>
    <n v="0"/>
    <n v="1224.0900000000001"/>
    <n v="0"/>
    <n v="1224.0900000000001"/>
    <x v="614"/>
    <n v="709.97000000000014"/>
  </r>
  <r>
    <s v="ORD-10451"/>
    <n v="44995"/>
    <x v="0"/>
    <x v="4"/>
    <x v="13"/>
    <x v="0"/>
    <x v="4"/>
    <x v="9"/>
    <x v="6"/>
    <x v="2"/>
    <x v="4"/>
    <x v="2"/>
    <n v="717.1"/>
    <n v="1"/>
    <n v="0.05"/>
    <n v="717.1"/>
    <n v="35.855000000000004"/>
    <n v="681.245"/>
    <x v="615"/>
    <n v="258.86500000000001"/>
  </r>
  <r>
    <s v="ORD-10507"/>
    <n v="44604"/>
    <x v="0"/>
    <x v="1"/>
    <x v="1"/>
    <x v="1"/>
    <x v="0"/>
    <x v="3"/>
    <x v="4"/>
    <x v="4"/>
    <x v="2"/>
    <x v="1"/>
    <n v="17.27"/>
    <n v="9"/>
    <n v="0.2"/>
    <n v="155.43"/>
    <n v="31.086000000000002"/>
    <n v="124.34400000000001"/>
    <x v="616"/>
    <n v="55.954000000000008"/>
  </r>
  <r>
    <s v="ORD-10771"/>
    <n v="45077"/>
    <x v="0"/>
    <x v="2"/>
    <x v="4"/>
    <x v="1"/>
    <x v="3"/>
    <x v="14"/>
    <x v="3"/>
    <x v="4"/>
    <x v="0"/>
    <x v="1"/>
    <n v="7.63"/>
    <n v="30"/>
    <n v="0"/>
    <n v="228.9"/>
    <n v="0"/>
    <n v="228.9"/>
    <x v="617"/>
    <n v="141.92000000000002"/>
  </r>
  <r>
    <s v="ORD-10276"/>
    <n v="45180"/>
    <x v="0"/>
    <x v="1"/>
    <x v="5"/>
    <x v="0"/>
    <x v="1"/>
    <x v="21"/>
    <x v="5"/>
    <x v="4"/>
    <x v="2"/>
    <x v="0"/>
    <n v="271.04000000000002"/>
    <n v="3"/>
    <n v="0"/>
    <n v="813.12000000000012"/>
    <n v="0"/>
    <n v="813.12000000000012"/>
    <x v="618"/>
    <n v="422.82000000000011"/>
  </r>
  <r>
    <s v="ORD-10286"/>
    <n v="45044"/>
    <x v="0"/>
    <x v="2"/>
    <x v="3"/>
    <x v="2"/>
    <x v="4"/>
    <x v="11"/>
    <x v="7"/>
    <x v="4"/>
    <x v="0"/>
    <x v="1"/>
    <n v="968.83"/>
    <n v="7"/>
    <n v="0.1"/>
    <n v="6781.81"/>
    <n v="678.18100000000004"/>
    <n v="6103.6290000000008"/>
    <x v="619"/>
    <n v="2319.3790000000008"/>
  </r>
  <r>
    <s v="ORD-10839"/>
    <n v="44823"/>
    <x v="0"/>
    <x v="0"/>
    <x v="12"/>
    <x v="0"/>
    <x v="0"/>
    <x v="16"/>
    <x v="4"/>
    <x v="1"/>
    <x v="0"/>
    <x v="0"/>
    <n v="10.5"/>
    <n v="12"/>
    <n v="0.05"/>
    <n v="126"/>
    <n v="6.3000000000000007"/>
    <n v="119.7"/>
    <x v="620"/>
    <n v="53.86"/>
  </r>
  <r>
    <s v="ORD-10783"/>
    <n v="45166"/>
    <x v="0"/>
    <x v="0"/>
    <x v="9"/>
    <x v="1"/>
    <x v="0"/>
    <x v="8"/>
    <x v="8"/>
    <x v="0"/>
    <x v="4"/>
    <x v="1"/>
    <n v="9.6300000000000008"/>
    <n v="4"/>
    <n v="0.2"/>
    <n v="38.520000000000003"/>
    <n v="7.7040000000000006"/>
    <n v="30.816000000000003"/>
    <x v="621"/>
    <n v="13.866000000000003"/>
  </r>
  <r>
    <s v="ORD-10893"/>
    <n v="45046"/>
    <x v="0"/>
    <x v="3"/>
    <x v="7"/>
    <x v="3"/>
    <x v="1"/>
    <x v="2"/>
    <x v="1"/>
    <x v="2"/>
    <x v="4"/>
    <x v="0"/>
    <n v="226.37"/>
    <n v="1"/>
    <n v="0.05"/>
    <n v="226.37"/>
    <n v="11.3185"/>
    <n v="215.0515"/>
    <x v="622"/>
    <n v="111.83150000000001"/>
  </r>
  <r>
    <s v="ORD-10051"/>
    <n v="45252"/>
    <x v="0"/>
    <x v="2"/>
    <x v="4"/>
    <x v="1"/>
    <x v="4"/>
    <x v="13"/>
    <x v="1"/>
    <x v="1"/>
    <x v="1"/>
    <x v="2"/>
    <n v="486.57"/>
    <n v="3"/>
    <n v="0.1"/>
    <n v="1459.71"/>
    <n v="145.971"/>
    <n v="1313.739"/>
    <x v="623"/>
    <n v="499.21900000000005"/>
  </r>
  <r>
    <s v="ORD-10147"/>
    <n v="44889"/>
    <x v="0"/>
    <x v="4"/>
    <x v="14"/>
    <x v="3"/>
    <x v="3"/>
    <x v="6"/>
    <x v="11"/>
    <x v="3"/>
    <x v="1"/>
    <x v="3"/>
    <n v="274.08"/>
    <n v="18"/>
    <n v="0.1"/>
    <n v="4933.4399999999996"/>
    <n v="493.34399999999999"/>
    <n v="4440.0959999999995"/>
    <x v="624"/>
    <n v="2752.8559999999998"/>
  </r>
  <r>
    <s v="ORD-10642"/>
    <n v="45005"/>
    <x v="0"/>
    <x v="4"/>
    <x v="14"/>
    <x v="3"/>
    <x v="3"/>
    <x v="14"/>
    <x v="2"/>
    <x v="2"/>
    <x v="3"/>
    <x v="2"/>
    <n v="9.0500000000000007"/>
    <n v="16"/>
    <n v="0"/>
    <n v="144.80000000000001"/>
    <n v="0"/>
    <n v="144.80000000000001"/>
    <x v="625"/>
    <n v="89.78"/>
  </r>
  <r>
    <s v="ORD-10421"/>
    <n v="44952"/>
    <x v="0"/>
    <x v="0"/>
    <x v="0"/>
    <x v="1"/>
    <x v="2"/>
    <x v="10"/>
    <x v="7"/>
    <x v="3"/>
    <x v="0"/>
    <x v="2"/>
    <n v="51.69"/>
    <n v="1"/>
    <n v="0"/>
    <n v="51.69"/>
    <n v="0"/>
    <n v="51.69"/>
    <x v="626"/>
    <n v="29.979999999999997"/>
  </r>
  <r>
    <s v="ORD-10814"/>
    <n v="44895"/>
    <x v="0"/>
    <x v="2"/>
    <x v="3"/>
    <x v="1"/>
    <x v="0"/>
    <x v="16"/>
    <x v="8"/>
    <x v="2"/>
    <x v="1"/>
    <x v="1"/>
    <n v="14.68"/>
    <n v="27"/>
    <n v="0"/>
    <n v="396.36"/>
    <n v="0"/>
    <n v="396.36"/>
    <x v="627"/>
    <n v="178.36"/>
  </r>
  <r>
    <s v="ORD-10453"/>
    <n v="45216"/>
    <x v="0"/>
    <x v="0"/>
    <x v="0"/>
    <x v="1"/>
    <x v="4"/>
    <x v="22"/>
    <x v="6"/>
    <x v="0"/>
    <x v="4"/>
    <x v="1"/>
    <n v="427.35"/>
    <n v="5"/>
    <n v="0"/>
    <n v="2136.75"/>
    <n v="0"/>
    <n v="2136.75"/>
    <x v="628"/>
    <n v="811.96"/>
  </r>
  <r>
    <s v="ORD-10879"/>
    <n v="44647"/>
    <x v="0"/>
    <x v="1"/>
    <x v="2"/>
    <x v="2"/>
    <x v="2"/>
    <x v="4"/>
    <x v="2"/>
    <x v="0"/>
    <x v="1"/>
    <x v="2"/>
    <n v="50.18"/>
    <n v="4"/>
    <n v="0.2"/>
    <n v="200.72"/>
    <n v="40.144000000000005"/>
    <n v="160.57599999999999"/>
    <x v="312"/>
    <n v="93.135999999999996"/>
  </r>
  <r>
    <s v="ORD-10200"/>
    <n v="44789"/>
    <x v="0"/>
    <x v="4"/>
    <x v="13"/>
    <x v="0"/>
    <x v="2"/>
    <x v="17"/>
    <x v="4"/>
    <x v="1"/>
    <x v="3"/>
    <x v="0"/>
    <n v="133.87"/>
    <n v="2"/>
    <n v="0"/>
    <n v="267.74"/>
    <n v="0"/>
    <n v="267.74"/>
    <x v="629"/>
    <n v="155.29000000000002"/>
  </r>
  <r>
    <s v="ORD-10847"/>
    <n v="45203"/>
    <x v="0"/>
    <x v="3"/>
    <x v="7"/>
    <x v="2"/>
    <x v="0"/>
    <x v="0"/>
    <x v="8"/>
    <x v="0"/>
    <x v="0"/>
    <x v="1"/>
    <n v="13.28"/>
    <n v="24"/>
    <n v="0.1"/>
    <n v="318.71999999999997"/>
    <n v="31.872"/>
    <n v="286.84799999999996"/>
    <x v="630"/>
    <n v="129.07799999999995"/>
  </r>
  <r>
    <s v="ORD-10674"/>
    <n v="44971"/>
    <x v="0"/>
    <x v="4"/>
    <x v="13"/>
    <x v="2"/>
    <x v="3"/>
    <x v="6"/>
    <x v="5"/>
    <x v="2"/>
    <x v="3"/>
    <x v="3"/>
    <n v="290.85000000000002"/>
    <n v="29"/>
    <n v="0"/>
    <n v="8434.6500000000015"/>
    <n v="0"/>
    <n v="8434.6500000000015"/>
    <x v="631"/>
    <n v="5229.4800000000014"/>
  </r>
  <r>
    <s v="ORD-10181"/>
    <n v="45001"/>
    <x v="0"/>
    <x v="1"/>
    <x v="5"/>
    <x v="3"/>
    <x v="4"/>
    <x v="11"/>
    <x v="6"/>
    <x v="0"/>
    <x v="2"/>
    <x v="1"/>
    <s v="N/A"/>
    <n v="8"/>
    <n v="0"/>
    <n v="0"/>
    <n v="0"/>
    <n v="0"/>
    <x v="9"/>
    <e v="#VALUE!"/>
  </r>
  <r>
    <s v="ORD-10791"/>
    <n v="44642"/>
    <x v="0"/>
    <x v="3"/>
    <x v="11"/>
    <x v="0"/>
    <x v="3"/>
    <x v="14"/>
    <x v="6"/>
    <x v="3"/>
    <x v="0"/>
    <x v="1"/>
    <n v="9.1999999999999993"/>
    <n v="15"/>
    <n v="0.15"/>
    <n v="138"/>
    <n v="20.7"/>
    <n v="117.3"/>
    <x v="632"/>
    <n v="72.72999999999999"/>
  </r>
  <r>
    <s v="ORD-10464"/>
    <n v="44931"/>
    <x v="0"/>
    <x v="3"/>
    <x v="7"/>
    <x v="3"/>
    <x v="3"/>
    <x v="7"/>
    <x v="7"/>
    <x v="3"/>
    <x v="0"/>
    <x v="2"/>
    <n v="11.71"/>
    <n v="16"/>
    <n v="0.2"/>
    <n v="187.36"/>
    <n v="37.472000000000001"/>
    <n v="149.88800000000001"/>
    <x v="633"/>
    <n v="92.927999999999997"/>
  </r>
  <r>
    <s v="ORD-10055"/>
    <n v="44682"/>
    <x v="0"/>
    <x v="4"/>
    <x v="14"/>
    <x v="1"/>
    <x v="3"/>
    <x v="7"/>
    <x v="8"/>
    <x v="2"/>
    <x v="4"/>
    <x v="2"/>
    <n v="11.37"/>
    <n v="18"/>
    <n v="0"/>
    <n v="204.66"/>
    <n v="0"/>
    <n v="204.66"/>
    <x v="634"/>
    <n v="126.89"/>
  </r>
  <r>
    <s v="ORD-10329"/>
    <n v="44830"/>
    <x v="0"/>
    <x v="1"/>
    <x v="1"/>
    <x v="3"/>
    <x v="0"/>
    <x v="16"/>
    <x v="8"/>
    <x v="4"/>
    <x v="1"/>
    <x v="2"/>
    <n v="12.54"/>
    <n v="21"/>
    <n v="0.1"/>
    <n v="263.33999999999997"/>
    <n v="26.334"/>
    <n v="237.00599999999997"/>
    <x v="635"/>
    <n v="106.64599999999996"/>
  </r>
  <r>
    <s v="ORD-10738"/>
    <n v="44833"/>
    <x v="0"/>
    <x v="3"/>
    <x v="8"/>
    <x v="3"/>
    <x v="2"/>
    <x v="5"/>
    <x v="8"/>
    <x v="0"/>
    <x v="0"/>
    <x v="1"/>
    <n v="77.27"/>
    <n v="2"/>
    <n v="0.1"/>
    <n v="154.54"/>
    <n v="15.454000000000001"/>
    <n v="139.08599999999998"/>
    <x v="636"/>
    <n v="80.665999999999983"/>
  </r>
  <r>
    <s v="ORD-10784"/>
    <n v="44820"/>
    <x v="0"/>
    <x v="3"/>
    <x v="7"/>
    <x v="0"/>
    <x v="3"/>
    <x v="14"/>
    <x v="3"/>
    <x v="2"/>
    <x v="1"/>
    <x v="1"/>
    <n v="8.1300000000000008"/>
    <n v="15"/>
    <n v="0"/>
    <n v="121.95000000000002"/>
    <n v="0"/>
    <n v="121.95000000000002"/>
    <x v="637"/>
    <n v="75.610000000000014"/>
  </r>
  <r>
    <s v="ORD-10644"/>
    <n v="44820"/>
    <x v="0"/>
    <x v="4"/>
    <x v="13"/>
    <x v="1"/>
    <x v="1"/>
    <x v="2"/>
    <x v="7"/>
    <x v="0"/>
    <x v="2"/>
    <x v="1"/>
    <n v="263.67"/>
    <n v="4"/>
    <n v="0.15"/>
    <n v="1054.68"/>
    <n v="158.202"/>
    <n v="896.47800000000007"/>
    <x v="638"/>
    <n v="466.16800000000006"/>
  </r>
  <r>
    <s v="ORD-10300"/>
    <n v="44765"/>
    <x v="0"/>
    <x v="2"/>
    <x v="4"/>
    <x v="1"/>
    <x v="0"/>
    <x v="0"/>
    <x v="7"/>
    <x v="2"/>
    <x v="0"/>
    <x v="3"/>
    <n v="17.399999999999999"/>
    <n v="15"/>
    <n v="0"/>
    <n v="261"/>
    <n v="0"/>
    <n v="261"/>
    <x v="639"/>
    <n v="117.44999999999999"/>
  </r>
  <r>
    <s v="ORD-10082"/>
    <n v="45002"/>
    <x v="0"/>
    <x v="1"/>
    <x v="1"/>
    <x v="1"/>
    <x v="0"/>
    <x v="16"/>
    <x v="3"/>
    <x v="2"/>
    <x v="2"/>
    <x v="1"/>
    <n v="14.93"/>
    <n v="2"/>
    <n v="0"/>
    <n v="29.86"/>
    <n v="0"/>
    <n v="29.86"/>
    <x v="640"/>
    <n v="13.439999999999998"/>
  </r>
  <r>
    <s v="ORD-11047"/>
    <n v="44687"/>
    <x v="0"/>
    <x v="3"/>
    <x v="11"/>
    <x v="1"/>
    <x v="1"/>
    <x v="1"/>
    <x v="0"/>
    <x v="1"/>
    <x v="2"/>
    <x v="3"/>
    <n v="402.98"/>
    <n v="2"/>
    <n v="0.1"/>
    <n v="805.96"/>
    <n v="80.596000000000004"/>
    <n v="725.36400000000003"/>
    <x v="641"/>
    <n v="377.19400000000002"/>
  </r>
  <r>
    <s v="ORD-10663"/>
    <n v="44733"/>
    <x v="0"/>
    <x v="1"/>
    <x v="5"/>
    <x v="0"/>
    <x v="3"/>
    <x v="7"/>
    <x v="9"/>
    <x v="2"/>
    <x v="3"/>
    <x v="3"/>
    <n v="12.11"/>
    <n v="4"/>
    <n v="0"/>
    <n v="48.44"/>
    <n v="0"/>
    <n v="48.44"/>
    <x v="642"/>
    <n v="30.029999999999998"/>
  </r>
  <r>
    <s v="ORD-10687"/>
    <n v="44650"/>
    <x v="0"/>
    <x v="0"/>
    <x v="9"/>
    <x v="2"/>
    <x v="1"/>
    <x v="21"/>
    <x v="1"/>
    <x v="1"/>
    <x v="0"/>
    <x v="1"/>
    <n v="301.39"/>
    <n v="6"/>
    <n v="0"/>
    <n v="1808.34"/>
    <n v="0"/>
    <n v="1808.34"/>
    <x v="643"/>
    <n v="940.33999999999992"/>
  </r>
  <r>
    <s v="ORD-10929"/>
    <n v="44741"/>
    <x v="0"/>
    <x v="1"/>
    <x v="5"/>
    <x v="0"/>
    <x v="4"/>
    <x v="11"/>
    <x v="7"/>
    <x v="2"/>
    <x v="4"/>
    <x v="1"/>
    <n v="730.8"/>
    <n v="5"/>
    <n v="0.2"/>
    <n v="3654"/>
    <n v="730.80000000000007"/>
    <n v="2923.2"/>
    <x v="644"/>
    <n v="1110.8199999999997"/>
  </r>
  <r>
    <s v="ORD-10864"/>
    <n v="44747"/>
    <x v="0"/>
    <x v="1"/>
    <x v="5"/>
    <x v="1"/>
    <x v="2"/>
    <x v="10"/>
    <x v="2"/>
    <x v="1"/>
    <x v="2"/>
    <x v="2"/>
    <n v="64.459999999999994"/>
    <n v="7"/>
    <n v="0.15"/>
    <n v="451.21999999999997"/>
    <n v="67.682999999999993"/>
    <n v="383.53699999999998"/>
    <x v="645"/>
    <n v="222.44699999999997"/>
  </r>
  <r>
    <s v="ORD-10067"/>
    <n v="45027"/>
    <x v="0"/>
    <x v="0"/>
    <x v="0"/>
    <x v="3"/>
    <x v="3"/>
    <x v="7"/>
    <x v="9"/>
    <x v="2"/>
    <x v="2"/>
    <x v="3"/>
    <n v="12.46"/>
    <n v="20"/>
    <n v="0.1"/>
    <n v="249.20000000000002"/>
    <n v="24.92"/>
    <n v="224.28000000000003"/>
    <x v="646"/>
    <n v="139.05000000000001"/>
  </r>
  <r>
    <s v="ORD-10049"/>
    <n v="44634"/>
    <x v="0"/>
    <x v="4"/>
    <x v="14"/>
    <x v="3"/>
    <x v="0"/>
    <x v="0"/>
    <x v="9"/>
    <x v="1"/>
    <x v="3"/>
    <x v="1"/>
    <n v="18.2"/>
    <n v="27"/>
    <n v="0"/>
    <n v="491.4"/>
    <n v="0"/>
    <n v="491.4"/>
    <x v="647"/>
    <n v="221.13"/>
  </r>
  <r>
    <s v="ORD-10026"/>
    <n v="45248"/>
    <x v="0"/>
    <x v="4"/>
    <x v="14"/>
    <x v="2"/>
    <x v="2"/>
    <x v="10"/>
    <x v="4"/>
    <x v="2"/>
    <x v="3"/>
    <x v="1"/>
    <n v="62.58"/>
    <n v="5"/>
    <n v="0.1"/>
    <n v="312.89999999999998"/>
    <n v="31.29"/>
    <n v="281.60999999999996"/>
    <x v="648"/>
    <n v="163.32999999999996"/>
  </r>
  <r>
    <s v="ORD-10342"/>
    <n v="44999"/>
    <x v="0"/>
    <x v="3"/>
    <x v="8"/>
    <x v="2"/>
    <x v="0"/>
    <x v="16"/>
    <x v="8"/>
    <x v="2"/>
    <x v="4"/>
    <x v="0"/>
    <n v="12.7"/>
    <n v="15"/>
    <n v="0.05"/>
    <n v="190.5"/>
    <n v="9.5250000000000004"/>
    <n v="180.97499999999999"/>
    <x v="649"/>
    <n v="81.444999999999993"/>
  </r>
  <r>
    <s v="ORD-10626"/>
    <n v="44802"/>
    <x v="0"/>
    <x v="0"/>
    <x v="9"/>
    <x v="2"/>
    <x v="1"/>
    <x v="2"/>
    <x v="2"/>
    <x v="3"/>
    <x v="4"/>
    <x v="1"/>
    <n v="192.24"/>
    <n v="6"/>
    <n v="0"/>
    <n v="1153.44"/>
    <n v="0"/>
    <n v="1153.44"/>
    <x v="650"/>
    <n v="599.79000000000008"/>
  </r>
  <r>
    <s v="ORD-10996"/>
    <n v="45185"/>
    <x v="0"/>
    <x v="2"/>
    <x v="6"/>
    <x v="2"/>
    <x v="3"/>
    <x v="7"/>
    <x v="6"/>
    <x v="0"/>
    <x v="0"/>
    <x v="1"/>
    <n v="14.12"/>
    <n v="22"/>
    <n v="0.1"/>
    <n v="310.64"/>
    <n v="31.064"/>
    <n v="279.57599999999996"/>
    <x v="651"/>
    <n v="173.33599999999996"/>
  </r>
  <r>
    <s v="ORD-10684"/>
    <n v="44844"/>
    <x v="0"/>
    <x v="0"/>
    <x v="9"/>
    <x v="1"/>
    <x v="4"/>
    <x v="22"/>
    <x v="3"/>
    <x v="2"/>
    <x v="3"/>
    <x v="1"/>
    <n v="408.85"/>
    <m/>
    <n v="0"/>
    <n v="0"/>
    <n v="0"/>
    <n v="0"/>
    <x v="9"/>
    <e v="#VALUE!"/>
  </r>
  <r>
    <s v="ORD-10083"/>
    <n v="44858"/>
    <x v="0"/>
    <x v="0"/>
    <x v="9"/>
    <x v="1"/>
    <x v="4"/>
    <x v="4"/>
    <x v="8"/>
    <x v="0"/>
    <x v="1"/>
    <x v="1"/>
    <n v="47.84"/>
    <n v="4"/>
    <n v="0.1"/>
    <n v="191.36"/>
    <n v="19.136000000000003"/>
    <n v="172.22400000000002"/>
    <x v="652"/>
    <n v="65.444000000000017"/>
  </r>
  <r>
    <s v="ORD-10076"/>
    <n v="44782"/>
    <x v="0"/>
    <x v="3"/>
    <x v="7"/>
    <x v="2"/>
    <x v="1"/>
    <x v="21"/>
    <x v="2"/>
    <x v="0"/>
    <x v="4"/>
    <x v="2"/>
    <n v="282.76"/>
    <n v="6"/>
    <n v="0.15"/>
    <n v="1696.56"/>
    <n v="254.48399999999998"/>
    <n v="1442.076"/>
    <x v="653"/>
    <n v="749.87599999999998"/>
  </r>
  <r>
    <s v="ORD-10206"/>
    <n v="44754"/>
    <x v="0"/>
    <x v="3"/>
    <x v="11"/>
    <x v="3"/>
    <x v="3"/>
    <x v="19"/>
    <x v="10"/>
    <x v="1"/>
    <x v="2"/>
    <x v="1"/>
    <n v="27.27"/>
    <n v="1"/>
    <n v="0.1"/>
    <n v="27.27"/>
    <n v="2.7270000000000003"/>
    <n v="24.542999999999999"/>
    <x v="654"/>
    <n v="15.212999999999999"/>
  </r>
  <r>
    <s v="ORD-10515"/>
    <n v="45258"/>
    <x v="0"/>
    <x v="2"/>
    <x v="3"/>
    <x v="0"/>
    <x v="2"/>
    <x v="17"/>
    <x v="3"/>
    <x v="1"/>
    <x v="1"/>
    <x v="1"/>
    <s v="N/A"/>
    <n v="8"/>
    <n v="0"/>
    <n v="0"/>
    <n v="0"/>
    <n v="0"/>
    <x v="9"/>
    <e v="#VALUE!"/>
  </r>
  <r>
    <s v="ORD-10396"/>
    <n v="44852"/>
    <x v="0"/>
    <x v="3"/>
    <x v="11"/>
    <x v="1"/>
    <x v="2"/>
    <x v="5"/>
    <x v="6"/>
    <x v="4"/>
    <x v="0"/>
    <x v="0"/>
    <n v="71.040000000000006"/>
    <n v="3"/>
    <n v="0.1"/>
    <n v="213.12"/>
    <n v="21.312000000000001"/>
    <n v="191.80799999999999"/>
    <x v="655"/>
    <n v="111.24799999999999"/>
  </r>
  <r>
    <s v="ORD-11006"/>
    <n v="44983"/>
    <x v="0"/>
    <x v="1"/>
    <x v="5"/>
    <x v="2"/>
    <x v="3"/>
    <x v="14"/>
    <x v="10"/>
    <x v="2"/>
    <x v="0"/>
    <x v="2"/>
    <n v="6.88"/>
    <n v="10"/>
    <n v="0"/>
    <n v="68.8"/>
    <n v="0"/>
    <n v="68.8"/>
    <x v="656"/>
    <n v="42.66"/>
  </r>
  <r>
    <s v="ORD-11012"/>
    <n v="44689"/>
    <x v="0"/>
    <x v="3"/>
    <x v="7"/>
    <x v="3"/>
    <x v="0"/>
    <x v="16"/>
    <x v="11"/>
    <x v="1"/>
    <x v="4"/>
    <x v="0"/>
    <n v="13.78"/>
    <n v="23"/>
    <n v="0"/>
    <n v="316.94"/>
    <n v="0"/>
    <n v="316.94"/>
    <x v="657"/>
    <n v="142.62"/>
  </r>
  <r>
    <s v="ORD-10064"/>
    <n v="45182"/>
    <x v="0"/>
    <x v="3"/>
    <x v="7"/>
    <x v="0"/>
    <x v="1"/>
    <x v="18"/>
    <x v="2"/>
    <x v="4"/>
    <x v="1"/>
    <x v="0"/>
    <n v="504.5"/>
    <n v="3"/>
    <n v="0.15"/>
    <n v="1513.5"/>
    <n v="227.02500000000001"/>
    <n v="1286.4749999999999"/>
    <x v="658"/>
    <n v="668.96499999999992"/>
  </r>
  <r>
    <s v="ORD-11045"/>
    <n v="45105"/>
    <x v="0"/>
    <x v="2"/>
    <x v="6"/>
    <x v="3"/>
    <x v="1"/>
    <x v="2"/>
    <x v="2"/>
    <x v="4"/>
    <x v="3"/>
    <x v="3"/>
    <n v="260.08"/>
    <n v="5"/>
    <n v="0"/>
    <n v="1300.3999999999999"/>
    <n v="0"/>
    <n v="1300.3999999999999"/>
    <x v="659"/>
    <n v="676.20999999999981"/>
  </r>
  <r>
    <s v="ORD-10400"/>
    <n v="44895"/>
    <x v="0"/>
    <x v="4"/>
    <x v="13"/>
    <x v="1"/>
    <x v="1"/>
    <x v="21"/>
    <x v="6"/>
    <x v="0"/>
    <x v="1"/>
    <x v="1"/>
    <n v="314.37"/>
    <n v="1"/>
    <n v="0.05"/>
    <n v="314.37"/>
    <n v="15.718500000000001"/>
    <n v="298.6515"/>
    <x v="660"/>
    <n v="155.3015"/>
  </r>
  <r>
    <s v="ORD-10855"/>
    <n v="45279"/>
    <x v="0"/>
    <x v="2"/>
    <x v="3"/>
    <x v="2"/>
    <x v="0"/>
    <x v="8"/>
    <x v="5"/>
    <x v="0"/>
    <x v="3"/>
    <x v="3"/>
    <n v="9.2899999999999991"/>
    <n v="3"/>
    <n v="0.15"/>
    <n v="27.869999999999997"/>
    <n v="4.1804999999999994"/>
    <n v="23.689499999999999"/>
    <x v="661"/>
    <n v="10.6595"/>
  </r>
  <r>
    <s v="ORD-10749"/>
    <n v="45121"/>
    <x v="0"/>
    <x v="1"/>
    <x v="1"/>
    <x v="0"/>
    <x v="1"/>
    <x v="18"/>
    <x v="11"/>
    <x v="0"/>
    <x v="1"/>
    <x v="2"/>
    <n v="468.33"/>
    <n v="2"/>
    <n v="0.15"/>
    <n v="936.66"/>
    <n v="140.499"/>
    <n v="796.16099999999994"/>
    <x v="662"/>
    <n v="414.00099999999992"/>
  </r>
  <r>
    <s v="ORD-10526"/>
    <n v="44909"/>
    <x v="0"/>
    <x v="2"/>
    <x v="6"/>
    <x v="2"/>
    <x v="1"/>
    <x v="1"/>
    <x v="11"/>
    <x v="4"/>
    <x v="0"/>
    <x v="1"/>
    <n v="449.38"/>
    <n v="3"/>
    <n v="0.05"/>
    <n v="1348.1399999999999"/>
    <n v="67.406999999999996"/>
    <n v="1280.7329999999999"/>
    <x v="663"/>
    <n v="665.98299999999995"/>
  </r>
  <r>
    <s v="ORD-10903"/>
    <n v="44915"/>
    <x v="0"/>
    <x v="4"/>
    <x v="10"/>
    <x v="2"/>
    <x v="4"/>
    <x v="13"/>
    <x v="7"/>
    <x v="4"/>
    <x v="2"/>
    <x v="1"/>
    <n v="419.03"/>
    <n v="1"/>
    <n v="0.1"/>
    <n v="419.03"/>
    <n v="41.902999999999999"/>
    <n v="377.12699999999995"/>
    <x v="325"/>
    <n v="143.30699999999996"/>
  </r>
  <r>
    <s v="ORD-10001"/>
    <n v="45227"/>
    <x v="0"/>
    <x v="2"/>
    <x v="3"/>
    <x v="1"/>
    <x v="1"/>
    <x v="21"/>
    <x v="1"/>
    <x v="2"/>
    <x v="2"/>
    <x v="1"/>
    <n v="285.97000000000003"/>
    <n v="3"/>
    <n v="0"/>
    <n v="857.91000000000008"/>
    <n v="0"/>
    <n v="857.91000000000008"/>
    <x v="664"/>
    <n v="446.11000000000007"/>
  </r>
  <r>
    <s v="ORD-10229"/>
    <n v="44990"/>
    <x v="0"/>
    <x v="3"/>
    <x v="7"/>
    <x v="3"/>
    <x v="4"/>
    <x v="22"/>
    <x v="8"/>
    <x v="3"/>
    <x v="1"/>
    <x v="1"/>
    <n v="393.58"/>
    <n v="8"/>
    <n v="0.15"/>
    <n v="3148.64"/>
    <n v="472.29599999999994"/>
    <n v="2676.3440000000001"/>
    <x v="665"/>
    <n v="1017.0140000000001"/>
  </r>
  <r>
    <s v="ORD-10489"/>
    <n v="44964"/>
    <x v="0"/>
    <x v="1"/>
    <x v="5"/>
    <x v="1"/>
    <x v="1"/>
    <x v="18"/>
    <x v="11"/>
    <x v="3"/>
    <x v="0"/>
    <x v="2"/>
    <n v="541.94000000000005"/>
    <n v="5"/>
    <n v="0.15"/>
    <n v="2709.7000000000003"/>
    <n v="406.45500000000004"/>
    <n v="2303.2450000000003"/>
    <x v="666"/>
    <n v="1197.6850000000004"/>
  </r>
  <r>
    <s v="ORD-10168"/>
    <n v="45035"/>
    <x v="0"/>
    <x v="4"/>
    <x v="14"/>
    <x v="3"/>
    <x v="1"/>
    <x v="1"/>
    <x v="4"/>
    <x v="0"/>
    <x v="4"/>
    <x v="1"/>
    <s v="N/A"/>
    <n v="7"/>
    <n v="0.05"/>
    <n v="0"/>
    <n v="0"/>
    <n v="0"/>
    <x v="9"/>
    <e v="#VALUE!"/>
  </r>
  <r>
    <s v="ORD-10758"/>
    <n v="45222"/>
    <x v="0"/>
    <x v="3"/>
    <x v="7"/>
    <x v="1"/>
    <x v="0"/>
    <x v="8"/>
    <x v="1"/>
    <x v="2"/>
    <x v="3"/>
    <x v="3"/>
    <n v="9.34"/>
    <n v="1"/>
    <n v="0.2"/>
    <n v="9.34"/>
    <n v="1.8680000000000001"/>
    <n v="7.4719999999999995"/>
    <x v="667"/>
    <n v="3.3619999999999992"/>
  </r>
  <r>
    <s v="ORD-10937"/>
    <n v="45258"/>
    <x v="0"/>
    <x v="1"/>
    <x v="2"/>
    <x v="1"/>
    <x v="3"/>
    <x v="6"/>
    <x v="0"/>
    <x v="0"/>
    <x v="0"/>
    <x v="3"/>
    <n v="273.35000000000002"/>
    <n v="20"/>
    <n v="0"/>
    <n v="5467"/>
    <n v="0"/>
    <n v="5467"/>
    <x v="668"/>
    <n v="3389.54"/>
  </r>
  <r>
    <s v="ORD-10953"/>
    <n v="44839"/>
    <x v="0"/>
    <x v="0"/>
    <x v="0"/>
    <x v="3"/>
    <x v="0"/>
    <x v="0"/>
    <x v="2"/>
    <x v="2"/>
    <x v="1"/>
    <x v="0"/>
    <n v="14.84"/>
    <n v="10"/>
    <n v="0"/>
    <n v="148.4"/>
    <n v="0"/>
    <n v="148.4"/>
    <x v="669"/>
    <n v="66.78"/>
  </r>
  <r>
    <s v="ORD-10278"/>
    <n v="45148"/>
    <x v="0"/>
    <x v="4"/>
    <x v="13"/>
    <x v="2"/>
    <x v="1"/>
    <x v="12"/>
    <x v="5"/>
    <x v="3"/>
    <x v="4"/>
    <x v="0"/>
    <n v="168.2"/>
    <n v="5"/>
    <n v="0"/>
    <n v="841"/>
    <n v="0"/>
    <n v="841"/>
    <x v="670"/>
    <n v="437.32"/>
  </r>
  <r>
    <s v="ORD-10960"/>
    <n v="45059"/>
    <x v="0"/>
    <x v="1"/>
    <x v="2"/>
    <x v="3"/>
    <x v="1"/>
    <x v="21"/>
    <x v="6"/>
    <x v="4"/>
    <x v="4"/>
    <x v="0"/>
    <n v="349.96"/>
    <n v="4"/>
    <n v="0"/>
    <n v="1399.84"/>
    <n v="0"/>
    <n v="1399.84"/>
    <x v="671"/>
    <n v="727.92"/>
  </r>
  <r>
    <s v="ORD-10318"/>
    <n v="44892"/>
    <x v="0"/>
    <x v="3"/>
    <x v="11"/>
    <x v="3"/>
    <x v="3"/>
    <x v="14"/>
    <x v="0"/>
    <x v="3"/>
    <x v="2"/>
    <x v="1"/>
    <n v="7.37"/>
    <n v="2"/>
    <n v="0"/>
    <n v="14.74"/>
    <n v="0"/>
    <n v="14.74"/>
    <x v="672"/>
    <n v="9.14"/>
  </r>
  <r>
    <s v="ORD-10601"/>
    <n v="44929"/>
    <x v="0"/>
    <x v="4"/>
    <x v="13"/>
    <x v="0"/>
    <x v="1"/>
    <x v="12"/>
    <x v="11"/>
    <x v="4"/>
    <x v="4"/>
    <x v="2"/>
    <n v="169.46"/>
    <n v="3"/>
    <n v="0.15"/>
    <n v="508.38"/>
    <n v="76.256999999999991"/>
    <n v="432.12299999999999"/>
    <x v="673"/>
    <n v="224.703"/>
  </r>
  <r>
    <s v="ORD-10246"/>
    <n v="44900"/>
    <x v="0"/>
    <x v="0"/>
    <x v="9"/>
    <x v="2"/>
    <x v="0"/>
    <x v="0"/>
    <x v="3"/>
    <x v="0"/>
    <x v="4"/>
    <x v="1"/>
    <n v="15.5"/>
    <n v="26"/>
    <n v="0.1"/>
    <n v="403"/>
    <n v="40.300000000000004"/>
    <n v="362.7"/>
    <x v="256"/>
    <n v="163.20999999999998"/>
  </r>
  <r>
    <s v="ORD-10152"/>
    <n v="45275"/>
    <x v="0"/>
    <x v="4"/>
    <x v="14"/>
    <x v="1"/>
    <x v="4"/>
    <x v="11"/>
    <x v="0"/>
    <x v="0"/>
    <x v="4"/>
    <x v="2"/>
    <n v="741.58"/>
    <n v="1"/>
    <n v="0.15"/>
    <n v="741.58"/>
    <n v="111.23700000000001"/>
    <n v="630.34300000000007"/>
    <x v="674"/>
    <n v="239.53300000000007"/>
  </r>
  <r>
    <s v="ORD-10554"/>
    <n v="45174"/>
    <x v="0"/>
    <x v="3"/>
    <x v="11"/>
    <x v="1"/>
    <x v="3"/>
    <x v="19"/>
    <x v="7"/>
    <x v="2"/>
    <x v="2"/>
    <x v="0"/>
    <s v="N/A"/>
    <n v="10"/>
    <n v="0.2"/>
    <n v="0"/>
    <n v="0"/>
    <n v="0"/>
    <x v="9"/>
    <e v="#VALUE!"/>
  </r>
  <r>
    <s v="ORD-10408"/>
    <n v="44771"/>
    <x v="0"/>
    <x v="4"/>
    <x v="14"/>
    <x v="3"/>
    <x v="1"/>
    <x v="18"/>
    <x v="0"/>
    <x v="0"/>
    <x v="3"/>
    <x v="3"/>
    <n v="518.07000000000005"/>
    <n v="4"/>
    <n v="0"/>
    <n v="2072.2800000000002"/>
    <n v="0"/>
    <n v="2072.2800000000002"/>
    <x v="675"/>
    <n v="1077.5900000000001"/>
  </r>
  <r>
    <s v="ORD-10273"/>
    <n v="45088"/>
    <x v="0"/>
    <x v="4"/>
    <x v="14"/>
    <x v="1"/>
    <x v="1"/>
    <x v="1"/>
    <x v="1"/>
    <x v="3"/>
    <x v="1"/>
    <x v="3"/>
    <n v="465.75"/>
    <n v="1"/>
    <n v="0"/>
    <n v="465.75"/>
    <n v="0"/>
    <n v="465.75"/>
    <x v="676"/>
    <n v="242.19"/>
  </r>
  <r>
    <s v="ORD-10196"/>
    <n v="44943"/>
    <x v="0"/>
    <x v="3"/>
    <x v="11"/>
    <x v="1"/>
    <x v="4"/>
    <x v="22"/>
    <x v="0"/>
    <x v="3"/>
    <x v="1"/>
    <x v="3"/>
    <n v="307.98"/>
    <n v="1"/>
    <n v="0.05"/>
    <n v="307.98"/>
    <n v="15.399000000000001"/>
    <n v="292.58100000000002"/>
    <x v="677"/>
    <n v="111.18100000000001"/>
  </r>
  <r>
    <s v="ORD-10257"/>
    <n v="45179"/>
    <x v="0"/>
    <x v="4"/>
    <x v="10"/>
    <x v="3"/>
    <x v="1"/>
    <x v="12"/>
    <x v="10"/>
    <x v="4"/>
    <x v="2"/>
    <x v="1"/>
    <n v="160.16"/>
    <n v="2"/>
    <n v="0.05"/>
    <n v="320.32"/>
    <n v="16.016000000000002"/>
    <n v="304.30399999999997"/>
    <x v="678"/>
    <n v="158.24399999999997"/>
  </r>
  <r>
    <s v="ORD-10123"/>
    <n v="44951"/>
    <x v="0"/>
    <x v="4"/>
    <x v="10"/>
    <x v="1"/>
    <x v="1"/>
    <x v="2"/>
    <x v="1"/>
    <x v="1"/>
    <x v="1"/>
    <x v="1"/>
    <n v="214.6"/>
    <n v="3"/>
    <n v="0.05"/>
    <n v="643.79999999999995"/>
    <n v="32.19"/>
    <n v="611.6099999999999"/>
    <x v="679"/>
    <n v="318.03999999999991"/>
  </r>
  <r>
    <s v="ORD-10344"/>
    <n v="44617"/>
    <x v="0"/>
    <x v="2"/>
    <x v="6"/>
    <x v="3"/>
    <x v="2"/>
    <x v="15"/>
    <x v="0"/>
    <x v="3"/>
    <x v="2"/>
    <x v="1"/>
    <s v="N/A"/>
    <n v="6"/>
    <n v="0.05"/>
    <n v="0"/>
    <n v="0"/>
    <n v="0"/>
    <x v="9"/>
    <e v="#VALUE!"/>
  </r>
  <r>
    <s v="ORD-10956"/>
    <n v="44689"/>
    <x v="0"/>
    <x v="3"/>
    <x v="11"/>
    <x v="1"/>
    <x v="2"/>
    <x v="10"/>
    <x v="0"/>
    <x v="4"/>
    <x v="0"/>
    <x v="2"/>
    <n v="67.31"/>
    <n v="5"/>
    <n v="0.1"/>
    <n v="336.55"/>
    <n v="33.655000000000001"/>
    <n v="302.89499999999998"/>
    <x v="680"/>
    <n v="175.685"/>
  </r>
  <r>
    <s v="ORD-10321"/>
    <n v="44798"/>
    <x v="0"/>
    <x v="2"/>
    <x v="3"/>
    <x v="3"/>
    <x v="1"/>
    <x v="1"/>
    <x v="3"/>
    <x v="4"/>
    <x v="3"/>
    <x v="3"/>
    <n v="407.88"/>
    <n v="7"/>
    <n v="0.15"/>
    <n v="2855.16"/>
    <n v="428.27399999999994"/>
    <n v="2426.886"/>
    <x v="681"/>
    <n v="1261.9759999999999"/>
  </r>
  <r>
    <s v="ORD-10916"/>
    <n v="45183"/>
    <x v="0"/>
    <x v="3"/>
    <x v="7"/>
    <x v="2"/>
    <x v="1"/>
    <x v="18"/>
    <x v="5"/>
    <x v="2"/>
    <x v="2"/>
    <x v="1"/>
    <n v="538.69000000000005"/>
    <n v="8"/>
    <n v="0"/>
    <n v="4309.5200000000004"/>
    <n v="0"/>
    <n v="4309.5200000000004"/>
    <x v="682"/>
    <n v="2240.9500000000003"/>
  </r>
  <r>
    <s v="ORD-10888"/>
    <n v="44766"/>
    <x v="0"/>
    <x v="4"/>
    <x v="14"/>
    <x v="3"/>
    <x v="0"/>
    <x v="0"/>
    <x v="4"/>
    <x v="0"/>
    <x v="3"/>
    <x v="2"/>
    <n v="18.41"/>
    <n v="1"/>
    <n v="0.15"/>
    <n v="18.41"/>
    <n v="2.7614999999999998"/>
    <n v="15.6485"/>
    <x v="683"/>
    <n v="7.0385000000000009"/>
  </r>
  <r>
    <s v="ORD-10149"/>
    <n v="45219"/>
    <x v="0"/>
    <x v="1"/>
    <x v="5"/>
    <x v="3"/>
    <x v="4"/>
    <x v="11"/>
    <x v="4"/>
    <x v="1"/>
    <x v="2"/>
    <x v="2"/>
    <n v="1008.97"/>
    <m/>
    <n v="0"/>
    <n v="0"/>
    <n v="0"/>
    <n v="0"/>
    <x v="9"/>
    <e v="#VALUE!"/>
  </r>
  <r>
    <s v="ORD-11049"/>
    <n v="44897"/>
    <x v="0"/>
    <x v="3"/>
    <x v="8"/>
    <x v="2"/>
    <x v="2"/>
    <x v="4"/>
    <x v="9"/>
    <x v="3"/>
    <x v="3"/>
    <x v="1"/>
    <s v="N/A"/>
    <n v="4"/>
    <n v="0.2"/>
    <n v="0"/>
    <n v="0"/>
    <n v="0"/>
    <x v="9"/>
    <e v="#VALUE!"/>
  </r>
  <r>
    <s v="ORD-10688"/>
    <n v="44662"/>
    <x v="0"/>
    <x v="0"/>
    <x v="12"/>
    <x v="0"/>
    <x v="0"/>
    <x v="3"/>
    <x v="5"/>
    <x v="3"/>
    <x v="4"/>
    <x v="3"/>
    <n v="21.09"/>
    <n v="5"/>
    <n v="0.15"/>
    <n v="105.45"/>
    <n v="15.817499999999999"/>
    <n v="89.632500000000007"/>
    <x v="684"/>
    <n v="40.33250000000001"/>
  </r>
  <r>
    <s v="ORD-10100"/>
    <n v="44860"/>
    <x v="0"/>
    <x v="3"/>
    <x v="8"/>
    <x v="2"/>
    <x v="0"/>
    <x v="3"/>
    <x v="6"/>
    <x v="3"/>
    <x v="4"/>
    <x v="1"/>
    <n v="19.07"/>
    <n v="12"/>
    <n v="0"/>
    <n v="228.84"/>
    <n v="0"/>
    <n v="228.84"/>
    <x v="685"/>
    <n v="102.98"/>
  </r>
  <r>
    <s v="ORD-11003"/>
    <n v="44794"/>
    <x v="0"/>
    <x v="3"/>
    <x v="11"/>
    <x v="2"/>
    <x v="2"/>
    <x v="15"/>
    <x v="2"/>
    <x v="2"/>
    <x v="1"/>
    <x v="1"/>
    <n v="164.99"/>
    <n v="1"/>
    <n v="0.1"/>
    <n v="164.99"/>
    <n v="16.499000000000002"/>
    <n v="148.49100000000001"/>
    <x v="686"/>
    <n v="86.121000000000009"/>
  </r>
  <r>
    <s v="ORD-10493"/>
    <n v="45157"/>
    <x v="0"/>
    <x v="2"/>
    <x v="4"/>
    <x v="3"/>
    <x v="0"/>
    <x v="8"/>
    <x v="6"/>
    <x v="2"/>
    <x v="0"/>
    <x v="1"/>
    <n v="11.36"/>
    <n v="17"/>
    <n v="0.15"/>
    <n v="193.12"/>
    <n v="28.968"/>
    <n v="164.15200000000002"/>
    <x v="687"/>
    <n v="73.872000000000014"/>
  </r>
  <r>
    <s v="ORD-10788"/>
    <n v="45267"/>
    <x v="0"/>
    <x v="4"/>
    <x v="14"/>
    <x v="0"/>
    <x v="0"/>
    <x v="20"/>
    <x v="1"/>
    <x v="0"/>
    <x v="1"/>
    <x v="3"/>
    <s v="N/A"/>
    <n v="14"/>
    <n v="0"/>
    <n v="0"/>
    <n v="0"/>
    <n v="0"/>
    <x v="9"/>
    <e v="#VALUE!"/>
  </r>
  <r>
    <s v="ORD-10015"/>
    <n v="44854"/>
    <x v="0"/>
    <x v="3"/>
    <x v="11"/>
    <x v="2"/>
    <x v="0"/>
    <x v="16"/>
    <x v="5"/>
    <x v="4"/>
    <x v="0"/>
    <x v="1"/>
    <n v="12.98"/>
    <n v="18"/>
    <n v="0"/>
    <n v="233.64000000000001"/>
    <n v="0"/>
    <n v="233.64000000000001"/>
    <x v="688"/>
    <n v="105.14000000000001"/>
  </r>
  <r>
    <s v="ORD-10830"/>
    <n v="45280"/>
    <x v="0"/>
    <x v="1"/>
    <x v="5"/>
    <x v="3"/>
    <x v="2"/>
    <x v="15"/>
    <x v="11"/>
    <x v="2"/>
    <x v="0"/>
    <x v="1"/>
    <s v="N/A"/>
    <n v="3"/>
    <n v="0.1"/>
    <n v="0"/>
    <n v="0"/>
    <n v="0"/>
    <x v="9"/>
    <e v="#VALUE!"/>
  </r>
  <r>
    <s v="ORD-10976"/>
    <n v="44586"/>
    <x v="0"/>
    <x v="3"/>
    <x v="7"/>
    <x v="0"/>
    <x v="3"/>
    <x v="7"/>
    <x v="10"/>
    <x v="2"/>
    <x v="3"/>
    <x v="1"/>
    <n v="11.97"/>
    <n v="26"/>
    <n v="0.1"/>
    <n v="311.22000000000003"/>
    <n v="31.122000000000003"/>
    <n v="280.09800000000001"/>
    <x v="689"/>
    <n v="173.65800000000002"/>
  </r>
  <r>
    <s v="ORD-10645"/>
    <n v="45000"/>
    <x v="0"/>
    <x v="0"/>
    <x v="12"/>
    <x v="3"/>
    <x v="1"/>
    <x v="1"/>
    <x v="2"/>
    <x v="0"/>
    <x v="4"/>
    <x v="2"/>
    <n v="469.77"/>
    <n v="7"/>
    <n v="0"/>
    <n v="3288.39"/>
    <n v="0"/>
    <n v="3288.39"/>
    <x v="690"/>
    <n v="1709.9599999999998"/>
  </r>
  <r>
    <s v="ORD-10416"/>
    <n v="45149"/>
    <x v="0"/>
    <x v="4"/>
    <x v="10"/>
    <x v="3"/>
    <x v="2"/>
    <x v="17"/>
    <x v="8"/>
    <x v="1"/>
    <x v="4"/>
    <x v="1"/>
    <s v="N/A"/>
    <n v="2"/>
    <n v="0"/>
    <n v="0"/>
    <n v="0"/>
    <n v="0"/>
    <x v="9"/>
    <e v="#VALUE!"/>
  </r>
  <r>
    <s v="ORD-10768"/>
    <n v="45167"/>
    <x v="0"/>
    <x v="1"/>
    <x v="2"/>
    <x v="3"/>
    <x v="4"/>
    <x v="9"/>
    <x v="4"/>
    <x v="2"/>
    <x v="4"/>
    <x v="1"/>
    <n v="583.87"/>
    <n v="4"/>
    <n v="0.15"/>
    <n v="2335.48"/>
    <n v="350.322"/>
    <n v="1985.1579999999999"/>
    <x v="691"/>
    <n v="754.35799999999995"/>
  </r>
  <r>
    <s v="ORD-10387"/>
    <n v="44818"/>
    <x v="0"/>
    <x v="3"/>
    <x v="8"/>
    <x v="1"/>
    <x v="2"/>
    <x v="5"/>
    <x v="4"/>
    <x v="1"/>
    <x v="2"/>
    <x v="3"/>
    <n v="66.959999999999994"/>
    <n v="6"/>
    <n v="0.05"/>
    <n v="401.76"/>
    <n v="20.088000000000001"/>
    <n v="381.67199999999997"/>
    <x v="692"/>
    <n v="221.37199999999996"/>
  </r>
  <r>
    <s v="ORD-11001"/>
    <n v="44656"/>
    <x v="0"/>
    <x v="0"/>
    <x v="9"/>
    <x v="2"/>
    <x v="2"/>
    <x v="5"/>
    <x v="3"/>
    <x v="2"/>
    <x v="2"/>
    <x v="0"/>
    <n v="87.28"/>
    <n v="3"/>
    <n v="0"/>
    <n v="261.84000000000003"/>
    <n v="0"/>
    <n v="261.84000000000003"/>
    <x v="693"/>
    <n v="151.87000000000003"/>
  </r>
  <r>
    <s v="ORD-10391"/>
    <n v="45022"/>
    <x v="0"/>
    <x v="1"/>
    <x v="2"/>
    <x v="3"/>
    <x v="3"/>
    <x v="14"/>
    <x v="2"/>
    <x v="1"/>
    <x v="4"/>
    <x v="1"/>
    <n v="9.3800000000000008"/>
    <n v="22"/>
    <n v="0.1"/>
    <n v="206.36"/>
    <n v="20.636000000000003"/>
    <n v="185.72400000000002"/>
    <x v="694"/>
    <n v="115.15400000000002"/>
  </r>
  <r>
    <s v="ORD-10997"/>
    <n v="45022"/>
    <x v="0"/>
    <x v="4"/>
    <x v="14"/>
    <x v="1"/>
    <x v="4"/>
    <x v="4"/>
    <x v="11"/>
    <x v="1"/>
    <x v="0"/>
    <x v="0"/>
    <n v="38.54"/>
    <n v="5"/>
    <n v="0.2"/>
    <n v="192.7"/>
    <n v="38.54"/>
    <n v="154.16"/>
    <x v="695"/>
    <n v="58.58"/>
  </r>
  <r>
    <s v="ORD-10095"/>
    <n v="44760"/>
    <x v="0"/>
    <x v="0"/>
    <x v="0"/>
    <x v="1"/>
    <x v="0"/>
    <x v="16"/>
    <x v="10"/>
    <x v="2"/>
    <x v="4"/>
    <x v="0"/>
    <n v="14.84"/>
    <n v="27"/>
    <n v="0"/>
    <n v="400.68"/>
    <n v="0"/>
    <n v="400.68"/>
    <x v="696"/>
    <n v="180.31"/>
  </r>
  <r>
    <s v="ORD-10272"/>
    <n v="44714"/>
    <x v="0"/>
    <x v="0"/>
    <x v="12"/>
    <x v="2"/>
    <x v="1"/>
    <x v="18"/>
    <x v="8"/>
    <x v="2"/>
    <x v="1"/>
    <x v="2"/>
    <n v="453.92"/>
    <n v="1"/>
    <n v="0.15"/>
    <n v="453.92"/>
    <n v="68.087999999999994"/>
    <n v="385.83199999999999"/>
    <x v="697"/>
    <n v="200.63200000000001"/>
  </r>
  <r>
    <s v="ORD-10676"/>
    <n v="44940"/>
    <x v="0"/>
    <x v="1"/>
    <x v="2"/>
    <x v="3"/>
    <x v="2"/>
    <x v="15"/>
    <x v="6"/>
    <x v="2"/>
    <x v="1"/>
    <x v="2"/>
    <n v="174.02"/>
    <n v="8"/>
    <n v="0.1"/>
    <n v="1392.16"/>
    <n v="139.21600000000001"/>
    <n v="1252.944"/>
    <x v="698"/>
    <n v="726.71399999999994"/>
  </r>
  <r>
    <s v="ORD-10760"/>
    <n v="44956"/>
    <x v="0"/>
    <x v="3"/>
    <x v="7"/>
    <x v="3"/>
    <x v="3"/>
    <x v="7"/>
    <x v="2"/>
    <x v="3"/>
    <x v="2"/>
    <x v="0"/>
    <n v="14.79"/>
    <n v="21"/>
    <n v="0.2"/>
    <n v="310.58999999999997"/>
    <n v="62.117999999999995"/>
    <n v="248.47199999999998"/>
    <x v="699"/>
    <n v="154.05199999999996"/>
  </r>
  <r>
    <s v="ORD-10756"/>
    <n v="44658"/>
    <x v="0"/>
    <x v="1"/>
    <x v="5"/>
    <x v="3"/>
    <x v="2"/>
    <x v="4"/>
    <x v="5"/>
    <x v="1"/>
    <x v="0"/>
    <x v="3"/>
    <n v="44.46"/>
    <n v="1"/>
    <n v="0"/>
    <n v="44.46"/>
    <n v="0"/>
    <n v="44.46"/>
    <x v="700"/>
    <n v="25.79"/>
  </r>
  <r>
    <s v="ORD-10852"/>
    <n v="45261"/>
    <x v="0"/>
    <x v="0"/>
    <x v="12"/>
    <x v="0"/>
    <x v="1"/>
    <x v="12"/>
    <x v="10"/>
    <x v="1"/>
    <x v="0"/>
    <x v="2"/>
    <n v="162.04"/>
    <n v="3"/>
    <n v="0"/>
    <n v="486.12"/>
    <n v="0"/>
    <n v="486.12"/>
    <x v="701"/>
    <n v="252.78"/>
  </r>
  <r>
    <s v="ORD-10557"/>
    <n v="44872"/>
    <x v="0"/>
    <x v="0"/>
    <x v="0"/>
    <x v="1"/>
    <x v="2"/>
    <x v="5"/>
    <x v="7"/>
    <x v="0"/>
    <x v="2"/>
    <x v="1"/>
    <n v="70.08"/>
    <n v="8"/>
    <n v="0.05"/>
    <n v="560.64"/>
    <n v="28.032"/>
    <n v="532.60799999999995"/>
    <x v="702"/>
    <n v="308.90799999999996"/>
  </r>
  <r>
    <s v="ORD-10367"/>
    <n v="45272"/>
    <x v="0"/>
    <x v="2"/>
    <x v="3"/>
    <x v="2"/>
    <x v="2"/>
    <x v="4"/>
    <x v="2"/>
    <x v="3"/>
    <x v="1"/>
    <x v="1"/>
    <n v="51.56"/>
    <n v="8"/>
    <n v="0"/>
    <n v="412.48"/>
    <n v="0"/>
    <n v="412.48"/>
    <x v="703"/>
    <n v="239.24"/>
  </r>
  <r>
    <s v="ORD-10604"/>
    <n v="44849"/>
    <x v="0"/>
    <x v="1"/>
    <x v="1"/>
    <x v="3"/>
    <x v="1"/>
    <x v="21"/>
    <x v="6"/>
    <x v="0"/>
    <x v="2"/>
    <x v="3"/>
    <n v="268.39"/>
    <n v="3"/>
    <n v="0"/>
    <n v="805.17"/>
    <n v="0"/>
    <n v="805.17"/>
    <x v="704"/>
    <n v="418.68999999999994"/>
  </r>
  <r>
    <s v="ORD-10415"/>
    <n v="44728"/>
    <x v="0"/>
    <x v="2"/>
    <x v="3"/>
    <x v="0"/>
    <x v="4"/>
    <x v="11"/>
    <x v="9"/>
    <x v="0"/>
    <x v="1"/>
    <x v="2"/>
    <n v="775.56"/>
    <n v="6"/>
    <n v="0.15"/>
    <n v="4653.3599999999997"/>
    <n v="698.00399999999991"/>
    <n v="3955.3559999999998"/>
    <x v="705"/>
    <n v="1503.0359999999996"/>
  </r>
  <r>
    <s v="ORD-10836"/>
    <n v="44793"/>
    <x v="0"/>
    <x v="0"/>
    <x v="9"/>
    <x v="0"/>
    <x v="3"/>
    <x v="23"/>
    <x v="8"/>
    <x v="0"/>
    <x v="3"/>
    <x v="0"/>
    <n v="20.77"/>
    <n v="5"/>
    <n v="0"/>
    <n v="103.85"/>
    <n v="0"/>
    <n v="103.85"/>
    <x v="706"/>
    <n v="64.389999999999986"/>
  </r>
  <r>
    <s v="ORD-10562"/>
    <n v="45154"/>
    <x v="0"/>
    <x v="4"/>
    <x v="13"/>
    <x v="2"/>
    <x v="4"/>
    <x v="11"/>
    <x v="4"/>
    <x v="0"/>
    <x v="4"/>
    <x v="3"/>
    <n v="898.8"/>
    <n v="4"/>
    <n v="0.05"/>
    <n v="3595.2"/>
    <n v="179.76"/>
    <n v="3415.4399999999996"/>
    <x v="707"/>
    <n v="1297.8699999999994"/>
  </r>
  <r>
    <s v="ORD-10030"/>
    <n v="44671"/>
    <x v="0"/>
    <x v="3"/>
    <x v="8"/>
    <x v="2"/>
    <x v="1"/>
    <x v="18"/>
    <x v="10"/>
    <x v="1"/>
    <x v="3"/>
    <x v="1"/>
    <n v="464.66"/>
    <n v="8"/>
    <n v="0.15"/>
    <n v="3717.28"/>
    <n v="557.59199999999998"/>
    <n v="3159.6880000000001"/>
    <x v="708"/>
    <n v="1643.038"/>
  </r>
  <r>
    <s v="ORD-11044"/>
    <n v="44796"/>
    <x v="0"/>
    <x v="0"/>
    <x v="12"/>
    <x v="2"/>
    <x v="0"/>
    <x v="0"/>
    <x v="7"/>
    <x v="4"/>
    <x v="2"/>
    <x v="3"/>
    <n v="15.57"/>
    <n v="10"/>
    <n v="0.05"/>
    <n v="155.69999999999999"/>
    <n v="7.7850000000000001"/>
    <n v="147.91499999999999"/>
    <x v="709"/>
    <n v="66.564999999999998"/>
  </r>
  <r>
    <s v="ORD-10444"/>
    <n v="44793"/>
    <x v="0"/>
    <x v="2"/>
    <x v="4"/>
    <x v="2"/>
    <x v="4"/>
    <x v="22"/>
    <x v="0"/>
    <x v="3"/>
    <x v="0"/>
    <x v="1"/>
    <n v="376.8"/>
    <n v="8"/>
    <n v="0.05"/>
    <n v="3014.4"/>
    <n v="150.72"/>
    <n v="2863.6800000000003"/>
    <x v="710"/>
    <n v="1088.2000000000003"/>
  </r>
  <r>
    <s v="ORD-10624"/>
    <n v="44692"/>
    <x v="0"/>
    <x v="4"/>
    <x v="14"/>
    <x v="1"/>
    <x v="3"/>
    <x v="23"/>
    <x v="10"/>
    <x v="0"/>
    <x v="4"/>
    <x v="3"/>
    <n v="19.63"/>
    <n v="21"/>
    <n v="0"/>
    <n v="412.22999999999996"/>
    <n v="0"/>
    <n v="412.22999999999996"/>
    <x v="711"/>
    <n v="255.57999999999996"/>
  </r>
  <r>
    <s v="ORD-10579"/>
    <n v="44635"/>
    <x v="0"/>
    <x v="2"/>
    <x v="4"/>
    <x v="2"/>
    <x v="3"/>
    <x v="23"/>
    <x v="8"/>
    <x v="4"/>
    <x v="3"/>
    <x v="2"/>
    <n v="16.239999999999998"/>
    <n v="25"/>
    <n v="0.2"/>
    <n v="405.99999999999994"/>
    <n v="81.199999999999989"/>
    <n v="324.79999999999995"/>
    <x v="712"/>
    <n v="201.37999999999994"/>
  </r>
  <r>
    <s v="ORD-10711"/>
    <n v="44861"/>
    <x v="0"/>
    <x v="4"/>
    <x v="10"/>
    <x v="0"/>
    <x v="2"/>
    <x v="15"/>
    <x v="4"/>
    <x v="1"/>
    <x v="2"/>
    <x v="1"/>
    <n v="196.06"/>
    <n v="4"/>
    <n v="0.05"/>
    <n v="784.24"/>
    <n v="39.212000000000003"/>
    <n v="745.02800000000002"/>
    <x v="713"/>
    <n v="432.11799999999999"/>
  </r>
  <r>
    <s v="ORD-10006"/>
    <n v="44703"/>
    <x v="0"/>
    <x v="2"/>
    <x v="3"/>
    <x v="1"/>
    <x v="4"/>
    <x v="11"/>
    <x v="0"/>
    <x v="4"/>
    <x v="1"/>
    <x v="3"/>
    <n v="925.28"/>
    <n v="7"/>
    <n v="0.05"/>
    <n v="6476.96"/>
    <n v="323.84800000000001"/>
    <n v="6153.1120000000001"/>
    <x v="714"/>
    <n v="2338.1820000000002"/>
  </r>
  <r>
    <s v="ORD-10816"/>
    <n v="45283"/>
    <x v="0"/>
    <x v="4"/>
    <x v="13"/>
    <x v="1"/>
    <x v="3"/>
    <x v="23"/>
    <x v="2"/>
    <x v="1"/>
    <x v="0"/>
    <x v="2"/>
    <n v="17.64"/>
    <n v="18"/>
    <n v="0.15"/>
    <n v="317.52"/>
    <n v="47.627999999999993"/>
    <n v="269.892"/>
    <x v="715"/>
    <n v="167.33199999999999"/>
  </r>
  <r>
    <s v="ORD-10679"/>
    <n v="44633"/>
    <x v="0"/>
    <x v="4"/>
    <x v="13"/>
    <x v="0"/>
    <x v="3"/>
    <x v="6"/>
    <x v="5"/>
    <x v="1"/>
    <x v="4"/>
    <x v="2"/>
    <n v="274.67"/>
    <n v="9"/>
    <n v="0"/>
    <n v="2472.0300000000002"/>
    <n v="0"/>
    <n v="2472.0300000000002"/>
    <x v="716"/>
    <n v="1532.6600000000003"/>
  </r>
  <r>
    <s v="ORD-10808"/>
    <n v="44743"/>
    <x v="0"/>
    <x v="1"/>
    <x v="5"/>
    <x v="2"/>
    <x v="3"/>
    <x v="7"/>
    <x v="7"/>
    <x v="1"/>
    <x v="1"/>
    <x v="3"/>
    <n v="14.55"/>
    <n v="5"/>
    <n v="0.1"/>
    <n v="72.75"/>
    <n v="7.2750000000000004"/>
    <n v="65.474999999999994"/>
    <x v="717"/>
    <n v="40.594999999999999"/>
  </r>
  <r>
    <s v="ORD-10003"/>
    <n v="44643"/>
    <x v="0"/>
    <x v="4"/>
    <x v="13"/>
    <x v="0"/>
    <x v="2"/>
    <x v="17"/>
    <x v="10"/>
    <x v="2"/>
    <x v="1"/>
    <x v="1"/>
    <n v="102.72"/>
    <n v="5"/>
    <n v="0.15"/>
    <n v="513.6"/>
    <n v="77.040000000000006"/>
    <n v="436.56"/>
    <x v="718"/>
    <n v="253.2"/>
  </r>
  <r>
    <s v="ORD-10291"/>
    <n v="44590"/>
    <x v="0"/>
    <x v="3"/>
    <x v="8"/>
    <x v="1"/>
    <x v="3"/>
    <x v="14"/>
    <x v="9"/>
    <x v="4"/>
    <x v="1"/>
    <x v="1"/>
    <s v="N/A"/>
    <n v="17"/>
    <n v="0.1"/>
    <n v="0"/>
    <n v="0"/>
    <n v="0"/>
    <x v="9"/>
    <e v="#VALUE!"/>
  </r>
  <r>
    <s v="ORD-10017"/>
    <n v="45159"/>
    <x v="0"/>
    <x v="2"/>
    <x v="4"/>
    <x v="1"/>
    <x v="3"/>
    <x v="23"/>
    <x v="6"/>
    <x v="2"/>
    <x v="1"/>
    <x v="1"/>
    <n v="16.239999999999998"/>
    <n v="21"/>
    <n v="0"/>
    <n v="341.03999999999996"/>
    <n v="0"/>
    <n v="341.03999999999996"/>
    <x v="719"/>
    <n v="211.43999999999997"/>
  </r>
  <r>
    <s v="ORD-10948"/>
    <n v="44663"/>
    <x v="0"/>
    <x v="4"/>
    <x v="14"/>
    <x v="3"/>
    <x v="0"/>
    <x v="8"/>
    <x v="0"/>
    <x v="4"/>
    <x v="1"/>
    <x v="0"/>
    <n v="11.94"/>
    <n v="3"/>
    <n v="0.05"/>
    <n v="35.82"/>
    <n v="1.7910000000000001"/>
    <n v="34.029000000000003"/>
    <x v="720"/>
    <n v="15.309000000000005"/>
  </r>
  <r>
    <s v="ORD-10673"/>
    <n v="44775"/>
    <x v="0"/>
    <x v="2"/>
    <x v="4"/>
    <x v="2"/>
    <x v="0"/>
    <x v="3"/>
    <x v="7"/>
    <x v="0"/>
    <x v="1"/>
    <x v="0"/>
    <n v="21.88"/>
    <n v="8"/>
    <n v="0"/>
    <n v="175.04"/>
    <n v="0"/>
    <n v="175.04"/>
    <x v="721"/>
    <n v="78.77"/>
  </r>
  <r>
    <s v="ORD-10141"/>
    <n v="45011"/>
    <x v="0"/>
    <x v="4"/>
    <x v="10"/>
    <x v="0"/>
    <x v="1"/>
    <x v="2"/>
    <x v="5"/>
    <x v="3"/>
    <x v="0"/>
    <x v="1"/>
    <n v="237.82"/>
    <n v="6"/>
    <n v="0"/>
    <n v="1426.92"/>
    <n v="0"/>
    <n v="1426.92"/>
    <x v="722"/>
    <n v="742.00000000000011"/>
  </r>
  <r>
    <s v="ORD-10868"/>
    <n v="44743"/>
    <x v="0"/>
    <x v="2"/>
    <x v="6"/>
    <x v="0"/>
    <x v="2"/>
    <x v="10"/>
    <x v="1"/>
    <x v="1"/>
    <x v="3"/>
    <x v="1"/>
    <n v="67.319999999999993"/>
    <n v="2"/>
    <n v="0"/>
    <n v="134.63999999999999"/>
    <n v="0"/>
    <n v="134.63999999999999"/>
    <x v="723"/>
    <n v="78.089999999999989"/>
  </r>
  <r>
    <s v="ORD-10249"/>
    <n v="44860"/>
    <x v="0"/>
    <x v="2"/>
    <x v="4"/>
    <x v="1"/>
    <x v="3"/>
    <x v="14"/>
    <x v="11"/>
    <x v="4"/>
    <x v="4"/>
    <x v="1"/>
    <n v="7.14"/>
    <n v="20"/>
    <n v="0"/>
    <n v="142.79999999999998"/>
    <n v="0"/>
    <n v="142.79999999999998"/>
    <x v="724"/>
    <n v="88.539999999999992"/>
  </r>
  <r>
    <s v="ORD-10665"/>
    <n v="44852"/>
    <x v="0"/>
    <x v="2"/>
    <x v="6"/>
    <x v="2"/>
    <x v="0"/>
    <x v="0"/>
    <x v="0"/>
    <x v="3"/>
    <x v="0"/>
    <x v="3"/>
    <n v="16.190000000000001"/>
    <n v="21"/>
    <n v="0.05"/>
    <n v="339.99"/>
    <n v="16.999500000000001"/>
    <n v="322.9905"/>
    <x v="725"/>
    <n v="145.35050000000001"/>
  </r>
  <r>
    <s v="ORD-10370"/>
    <n v="45007"/>
    <x v="0"/>
    <x v="0"/>
    <x v="9"/>
    <x v="0"/>
    <x v="0"/>
    <x v="20"/>
    <x v="1"/>
    <x v="3"/>
    <x v="4"/>
    <x v="1"/>
    <n v="19.25"/>
    <m/>
    <n v="0.1"/>
    <n v="0"/>
    <n v="0"/>
    <n v="0"/>
    <x v="9"/>
    <e v="#VALUE!"/>
  </r>
  <r>
    <s v="ORD-10616"/>
    <n v="44721"/>
    <x v="0"/>
    <x v="3"/>
    <x v="8"/>
    <x v="3"/>
    <x v="2"/>
    <x v="17"/>
    <x v="5"/>
    <x v="0"/>
    <x v="2"/>
    <x v="2"/>
    <n v="113.71"/>
    <n v="3"/>
    <n v="0"/>
    <n v="341.13"/>
    <n v="0"/>
    <n v="341.13"/>
    <x v="726"/>
    <n v="197.85999999999999"/>
  </r>
  <r>
    <s v="ORD-10678"/>
    <n v="45069"/>
    <x v="0"/>
    <x v="4"/>
    <x v="13"/>
    <x v="2"/>
    <x v="1"/>
    <x v="12"/>
    <x v="4"/>
    <x v="2"/>
    <x v="3"/>
    <x v="1"/>
    <n v="124.28"/>
    <n v="8"/>
    <n v="0.15"/>
    <n v="994.24"/>
    <n v="149.136"/>
    <n v="845.10400000000004"/>
    <x v="727"/>
    <n v="439.45400000000006"/>
  </r>
  <r>
    <s v="ORD-11041"/>
    <n v="45221"/>
    <x v="0"/>
    <x v="4"/>
    <x v="10"/>
    <x v="3"/>
    <x v="2"/>
    <x v="15"/>
    <x v="6"/>
    <x v="3"/>
    <x v="1"/>
    <x v="2"/>
    <n v="169.81"/>
    <n v="2"/>
    <n v="0.05"/>
    <n v="339.62"/>
    <n v="16.981000000000002"/>
    <n v="322.63900000000001"/>
    <x v="728"/>
    <n v="187.12900000000002"/>
  </r>
  <r>
    <s v="ORD-10333"/>
    <n v="44706"/>
    <x v="0"/>
    <x v="1"/>
    <x v="1"/>
    <x v="0"/>
    <x v="0"/>
    <x v="8"/>
    <x v="11"/>
    <x v="2"/>
    <x v="1"/>
    <x v="1"/>
    <n v="9.3000000000000007"/>
    <n v="23"/>
    <n v="0.1"/>
    <n v="213.9"/>
    <n v="21.39"/>
    <n v="192.51"/>
    <x v="729"/>
    <n v="86.63"/>
  </r>
  <r>
    <s v="ORD-10225"/>
    <n v="44914"/>
    <x v="0"/>
    <x v="4"/>
    <x v="14"/>
    <x v="3"/>
    <x v="4"/>
    <x v="13"/>
    <x v="11"/>
    <x v="0"/>
    <x v="2"/>
    <x v="1"/>
    <n v="477.14"/>
    <n v="4"/>
    <n v="0.15"/>
    <n v="1908.56"/>
    <n v="286.28399999999999"/>
    <n v="1622.2759999999998"/>
    <x v="730"/>
    <n v="616.46599999999989"/>
  </r>
  <r>
    <s v="ORD-10621"/>
    <n v="44955"/>
    <x v="0"/>
    <x v="1"/>
    <x v="1"/>
    <x v="2"/>
    <x v="1"/>
    <x v="2"/>
    <x v="6"/>
    <x v="1"/>
    <x v="0"/>
    <x v="1"/>
    <n v="241.18"/>
    <n v="2"/>
    <n v="0"/>
    <n v="482.36"/>
    <n v="0"/>
    <n v="482.36"/>
    <x v="731"/>
    <n v="250.83"/>
  </r>
  <r>
    <s v="ORD-10993"/>
    <n v="44705"/>
    <x v="0"/>
    <x v="4"/>
    <x v="10"/>
    <x v="2"/>
    <x v="0"/>
    <x v="16"/>
    <x v="7"/>
    <x v="4"/>
    <x v="1"/>
    <x v="2"/>
    <n v="13.9"/>
    <n v="21"/>
    <n v="0"/>
    <n v="291.90000000000003"/>
    <n v="0"/>
    <n v="291.90000000000003"/>
    <x v="732"/>
    <n v="131.36000000000004"/>
  </r>
  <r>
    <s v="ORD-10233"/>
    <n v="44842"/>
    <x v="0"/>
    <x v="4"/>
    <x v="13"/>
    <x v="1"/>
    <x v="0"/>
    <x v="0"/>
    <x v="10"/>
    <x v="1"/>
    <x v="1"/>
    <x v="0"/>
    <n v="16.55"/>
    <n v="13"/>
    <n v="0.05"/>
    <n v="215.15"/>
    <n v="10.7575"/>
    <n v="204.39250000000001"/>
    <x v="733"/>
    <n v="91.982500000000016"/>
  </r>
  <r>
    <s v="ORD-10907"/>
    <n v="44716"/>
    <x v="0"/>
    <x v="2"/>
    <x v="6"/>
    <x v="0"/>
    <x v="1"/>
    <x v="2"/>
    <x v="11"/>
    <x v="0"/>
    <x v="4"/>
    <x v="1"/>
    <n v="216.68"/>
    <n v="1"/>
    <n v="0.05"/>
    <n v="216.68"/>
    <n v="10.834000000000001"/>
    <n v="205.846"/>
    <x v="734"/>
    <n v="107.036"/>
  </r>
  <r>
    <s v="ORD-10575"/>
    <n v="44951"/>
    <x v="0"/>
    <x v="2"/>
    <x v="4"/>
    <x v="1"/>
    <x v="4"/>
    <x v="13"/>
    <x v="11"/>
    <x v="3"/>
    <x v="3"/>
    <x v="1"/>
    <n v="496.78"/>
    <n v="6"/>
    <n v="0.2"/>
    <n v="2980.68"/>
    <n v="596.13599999999997"/>
    <n v="2384.5439999999999"/>
    <x v="735"/>
    <n v="906.13399999999979"/>
  </r>
  <r>
    <s v="ORD-10316"/>
    <n v="45142"/>
    <x v="0"/>
    <x v="4"/>
    <x v="10"/>
    <x v="3"/>
    <x v="3"/>
    <x v="23"/>
    <x v="8"/>
    <x v="0"/>
    <x v="0"/>
    <x v="0"/>
    <n v="15.8"/>
    <n v="5"/>
    <n v="0.05"/>
    <n v="79"/>
    <n v="3.95"/>
    <n v="75.05"/>
    <x v="736"/>
    <n v="46.53"/>
  </r>
  <r>
    <s v="ORD-10221"/>
    <n v="44901"/>
    <x v="0"/>
    <x v="4"/>
    <x v="13"/>
    <x v="0"/>
    <x v="2"/>
    <x v="17"/>
    <x v="2"/>
    <x v="1"/>
    <x v="0"/>
    <x v="1"/>
    <n v="105.84"/>
    <n v="8"/>
    <n v="0.2"/>
    <n v="846.72"/>
    <n v="169.34400000000002"/>
    <n v="677.37599999999998"/>
    <x v="737"/>
    <n v="392.87599999999998"/>
  </r>
  <r>
    <s v="ORD-10938"/>
    <n v="45051"/>
    <x v="0"/>
    <x v="2"/>
    <x v="4"/>
    <x v="2"/>
    <x v="4"/>
    <x v="4"/>
    <x v="11"/>
    <x v="0"/>
    <x v="0"/>
    <x v="1"/>
    <n v="42.85"/>
    <n v="8"/>
    <n v="0.2"/>
    <n v="342.8"/>
    <n v="68.56"/>
    <n v="274.24"/>
    <x v="738"/>
    <n v="104.21000000000001"/>
  </r>
  <r>
    <s v="ORD-10178"/>
    <n v="45061"/>
    <x v="0"/>
    <x v="0"/>
    <x v="0"/>
    <x v="1"/>
    <x v="4"/>
    <x v="11"/>
    <x v="8"/>
    <x v="0"/>
    <x v="0"/>
    <x v="1"/>
    <n v="796.56"/>
    <n v="7"/>
    <n v="0.2"/>
    <n v="5575.92"/>
    <n v="1115.184"/>
    <n v="4460.7359999999999"/>
    <x v="739"/>
    <n v="1695.076"/>
  </r>
  <r>
    <s v="ORD-10452"/>
    <n v="45048"/>
    <x v="0"/>
    <x v="4"/>
    <x v="14"/>
    <x v="2"/>
    <x v="1"/>
    <x v="12"/>
    <x v="10"/>
    <x v="2"/>
    <x v="0"/>
    <x v="1"/>
    <n v="166.12"/>
    <n v="1"/>
    <n v="0.15"/>
    <n v="166.12"/>
    <n v="24.917999999999999"/>
    <n v="141.202"/>
    <x v="740"/>
    <n v="73.421999999999997"/>
  </r>
  <r>
    <s v="ORD-10858"/>
    <n v="45143"/>
    <x v="0"/>
    <x v="4"/>
    <x v="14"/>
    <x v="0"/>
    <x v="1"/>
    <x v="18"/>
    <x v="1"/>
    <x v="0"/>
    <x v="3"/>
    <x v="2"/>
    <n v="509.71"/>
    <n v="6"/>
    <n v="0.2"/>
    <n v="3058.2599999999998"/>
    <n v="611.65199999999993"/>
    <n v="2446.6079999999997"/>
    <x v="741"/>
    <n v="1272.2379999999998"/>
  </r>
  <r>
    <s v="ORD-10031"/>
    <n v="45015"/>
    <x v="0"/>
    <x v="2"/>
    <x v="4"/>
    <x v="1"/>
    <x v="0"/>
    <x v="16"/>
    <x v="3"/>
    <x v="0"/>
    <x v="1"/>
    <x v="3"/>
    <n v="12.36"/>
    <n v="25"/>
    <n v="0"/>
    <n v="309"/>
    <n v="0"/>
    <n v="309"/>
    <x v="742"/>
    <n v="139.05000000000001"/>
  </r>
  <r>
    <s v="ORD-10427"/>
    <n v="44933"/>
    <x v="0"/>
    <x v="4"/>
    <x v="14"/>
    <x v="2"/>
    <x v="0"/>
    <x v="8"/>
    <x v="2"/>
    <x v="4"/>
    <x v="0"/>
    <x v="1"/>
    <n v="9.39"/>
    <n v="28"/>
    <n v="0.15"/>
    <n v="262.92"/>
    <n v="39.438000000000002"/>
    <n v="223.48200000000003"/>
    <x v="743"/>
    <n v="100.57200000000003"/>
  </r>
  <r>
    <s v="ORD-10782"/>
    <n v="45023"/>
    <x v="0"/>
    <x v="2"/>
    <x v="3"/>
    <x v="1"/>
    <x v="2"/>
    <x v="17"/>
    <x v="3"/>
    <x v="2"/>
    <x v="2"/>
    <x v="1"/>
    <n v="116.9"/>
    <n v="7"/>
    <n v="0.2"/>
    <n v="818.30000000000007"/>
    <n v="163.66000000000003"/>
    <n v="654.6400000000001"/>
    <x v="744"/>
    <n v="379.69000000000011"/>
  </r>
  <r>
    <s v="ORD-10468"/>
    <n v="44686"/>
    <x v="0"/>
    <x v="3"/>
    <x v="7"/>
    <x v="1"/>
    <x v="0"/>
    <x v="20"/>
    <x v="2"/>
    <x v="4"/>
    <x v="2"/>
    <x v="1"/>
    <n v="26.01"/>
    <n v="22"/>
    <n v="0.05"/>
    <n v="572.22"/>
    <n v="28.611000000000004"/>
    <n v="543.60900000000004"/>
    <x v="745"/>
    <n v="244.61900000000003"/>
  </r>
  <r>
    <s v="ORD-10120"/>
    <n v="44693"/>
    <x v="0"/>
    <x v="1"/>
    <x v="1"/>
    <x v="1"/>
    <x v="3"/>
    <x v="23"/>
    <x v="3"/>
    <x v="2"/>
    <x v="1"/>
    <x v="1"/>
    <n v="18.899999999999999"/>
    <n v="2"/>
    <n v="0"/>
    <n v="37.799999999999997"/>
    <n v="0"/>
    <n v="37.799999999999997"/>
    <x v="746"/>
    <n v="23.439999999999998"/>
  </r>
  <r>
    <s v="ORD-10655"/>
    <n v="45204"/>
    <x v="0"/>
    <x v="0"/>
    <x v="0"/>
    <x v="1"/>
    <x v="1"/>
    <x v="12"/>
    <x v="6"/>
    <x v="1"/>
    <x v="2"/>
    <x v="1"/>
    <n v="119.65"/>
    <n v="3"/>
    <n v="0"/>
    <n v="358.95000000000005"/>
    <n v="0"/>
    <n v="358.95000000000005"/>
    <x v="747"/>
    <n v="186.65000000000003"/>
  </r>
  <r>
    <s v="ORD-10988"/>
    <n v="45070"/>
    <x v="0"/>
    <x v="2"/>
    <x v="6"/>
    <x v="1"/>
    <x v="3"/>
    <x v="14"/>
    <x v="9"/>
    <x v="2"/>
    <x v="1"/>
    <x v="3"/>
    <n v="9.39"/>
    <n v="12"/>
    <n v="0.1"/>
    <n v="112.68"/>
    <n v="11.268000000000001"/>
    <n v="101.41200000000001"/>
    <x v="748"/>
    <n v="62.872000000000007"/>
  </r>
  <r>
    <s v="ORD-10158"/>
    <n v="44653"/>
    <x v="0"/>
    <x v="0"/>
    <x v="0"/>
    <x v="0"/>
    <x v="4"/>
    <x v="22"/>
    <x v="1"/>
    <x v="2"/>
    <x v="4"/>
    <x v="1"/>
    <n v="355.43"/>
    <n v="2"/>
    <n v="0.15"/>
    <n v="710.86"/>
    <n v="106.629"/>
    <n v="604.23099999999999"/>
    <x v="749"/>
    <n v="229.61099999999999"/>
  </r>
  <r>
    <s v="ORD-10484"/>
    <n v="45077"/>
    <x v="0"/>
    <x v="1"/>
    <x v="2"/>
    <x v="3"/>
    <x v="3"/>
    <x v="6"/>
    <x v="0"/>
    <x v="3"/>
    <x v="1"/>
    <x v="1"/>
    <n v="334.25"/>
    <n v="11"/>
    <n v="0.2"/>
    <n v="3676.75"/>
    <n v="735.35"/>
    <n v="2941.4"/>
    <x v="750"/>
    <n v="1823.67"/>
  </r>
  <r>
    <s v="ORD-10571"/>
    <n v="44761"/>
    <x v="0"/>
    <x v="4"/>
    <x v="10"/>
    <x v="0"/>
    <x v="0"/>
    <x v="8"/>
    <x v="11"/>
    <x v="4"/>
    <x v="4"/>
    <x v="1"/>
    <n v="11.83"/>
    <n v="18"/>
    <n v="0.2"/>
    <n v="212.94"/>
    <n v="42.588000000000001"/>
    <n v="170.352"/>
    <x v="751"/>
    <n v="76.662000000000006"/>
  </r>
  <r>
    <s v="ORD-10023"/>
    <n v="44745"/>
    <x v="0"/>
    <x v="0"/>
    <x v="12"/>
    <x v="1"/>
    <x v="1"/>
    <x v="12"/>
    <x v="5"/>
    <x v="1"/>
    <x v="4"/>
    <x v="1"/>
    <n v="131.46"/>
    <n v="8"/>
    <n v="0"/>
    <n v="1051.68"/>
    <n v="0"/>
    <n v="1051.68"/>
    <x v="752"/>
    <n v="546.87000000000012"/>
  </r>
  <r>
    <s v="ORD-10716"/>
    <n v="44911"/>
    <x v="0"/>
    <x v="2"/>
    <x v="3"/>
    <x v="0"/>
    <x v="2"/>
    <x v="10"/>
    <x v="0"/>
    <x v="3"/>
    <x v="4"/>
    <x v="3"/>
    <n v="65.64"/>
    <n v="8"/>
    <n v="0.05"/>
    <n v="525.12"/>
    <n v="26.256"/>
    <n v="498.86400000000003"/>
    <x v="753"/>
    <n v="289.34400000000005"/>
  </r>
  <r>
    <s v="ORD-10914"/>
    <n v="45223"/>
    <x v="0"/>
    <x v="4"/>
    <x v="10"/>
    <x v="0"/>
    <x v="0"/>
    <x v="20"/>
    <x v="7"/>
    <x v="1"/>
    <x v="1"/>
    <x v="0"/>
    <n v="20.88"/>
    <n v="13"/>
    <n v="0.05"/>
    <n v="271.44"/>
    <n v="13.572000000000001"/>
    <n v="257.86799999999999"/>
    <x v="754"/>
    <n v="116.03799999999998"/>
  </r>
  <r>
    <s v="ORD-10994"/>
    <n v="45056"/>
    <x v="0"/>
    <x v="2"/>
    <x v="6"/>
    <x v="1"/>
    <x v="1"/>
    <x v="1"/>
    <x v="2"/>
    <x v="3"/>
    <x v="0"/>
    <x v="0"/>
    <n v="458.22"/>
    <n v="4"/>
    <n v="0.05"/>
    <n v="1832.88"/>
    <n v="91.644000000000005"/>
    <n v="1741.2360000000001"/>
    <x v="755"/>
    <n v="905.43600000000015"/>
  </r>
  <r>
    <s v="ORD-10573"/>
    <n v="45248"/>
    <x v="0"/>
    <x v="1"/>
    <x v="5"/>
    <x v="0"/>
    <x v="1"/>
    <x v="18"/>
    <x v="4"/>
    <x v="0"/>
    <x v="2"/>
    <x v="3"/>
    <n v="539.45000000000005"/>
    <n v="2"/>
    <n v="0.15"/>
    <n v="1078.9000000000001"/>
    <n v="161.83500000000001"/>
    <n v="917.06500000000005"/>
    <x v="756"/>
    <n v="476.87500000000006"/>
  </r>
  <r>
    <s v="ORD-10577"/>
    <n v="45243"/>
    <x v="0"/>
    <x v="1"/>
    <x v="5"/>
    <x v="1"/>
    <x v="3"/>
    <x v="23"/>
    <x v="3"/>
    <x v="1"/>
    <x v="0"/>
    <x v="3"/>
    <n v="19.84"/>
    <n v="7"/>
    <n v="0.05"/>
    <n v="138.88"/>
    <n v="6.944"/>
    <n v="131.93600000000001"/>
    <x v="757"/>
    <n v="81.796000000000006"/>
  </r>
  <r>
    <s v="ORD-10413"/>
    <n v="44610"/>
    <x v="0"/>
    <x v="4"/>
    <x v="14"/>
    <x v="0"/>
    <x v="3"/>
    <x v="6"/>
    <x v="5"/>
    <x v="3"/>
    <x v="1"/>
    <x v="3"/>
    <n v="295.33"/>
    <n v="6"/>
    <n v="0.2"/>
    <n v="1771.98"/>
    <n v="354.39600000000002"/>
    <n v="1417.5840000000001"/>
    <x v="758"/>
    <n v="878.90400000000011"/>
  </r>
  <r>
    <s v="ORD-10999"/>
    <n v="44826"/>
    <x v="0"/>
    <x v="4"/>
    <x v="10"/>
    <x v="3"/>
    <x v="3"/>
    <x v="23"/>
    <x v="9"/>
    <x v="4"/>
    <x v="4"/>
    <x v="1"/>
    <n v="17.899999999999999"/>
    <n v="25"/>
    <n v="0"/>
    <n v="447.49999999999994"/>
    <n v="0"/>
    <n v="447.49999999999994"/>
    <x v="759"/>
    <n v="277.44999999999993"/>
  </r>
  <r>
    <s v="ORD-10794"/>
    <n v="45110"/>
    <x v="0"/>
    <x v="2"/>
    <x v="3"/>
    <x v="3"/>
    <x v="1"/>
    <x v="21"/>
    <x v="10"/>
    <x v="0"/>
    <x v="0"/>
    <x v="2"/>
    <n v="353.67"/>
    <n v="3"/>
    <n v="0.05"/>
    <n v="1061.01"/>
    <n v="53.0505"/>
    <n v="1007.9594999999999"/>
    <x v="760"/>
    <n v="524.1395"/>
  </r>
  <r>
    <s v="ORD-10144"/>
    <n v="44823"/>
    <x v="0"/>
    <x v="4"/>
    <x v="14"/>
    <x v="3"/>
    <x v="4"/>
    <x v="4"/>
    <x v="2"/>
    <x v="1"/>
    <x v="3"/>
    <x v="3"/>
    <n v="39.18"/>
    <n v="7"/>
    <n v="0.15"/>
    <n v="274.26"/>
    <n v="41.138999999999996"/>
    <n v="233.12099999999998"/>
    <x v="761"/>
    <n v="88.59099999999998"/>
  </r>
  <r>
    <s v="ORD-10819"/>
    <n v="44985"/>
    <x v="0"/>
    <x v="4"/>
    <x v="13"/>
    <x v="1"/>
    <x v="0"/>
    <x v="3"/>
    <x v="1"/>
    <x v="4"/>
    <x v="3"/>
    <x v="1"/>
    <n v="17.07"/>
    <n v="19"/>
    <n v="0.1"/>
    <n v="324.33"/>
    <n v="32.433"/>
    <n v="291.89699999999999"/>
    <x v="732"/>
    <n v="131.357"/>
  </r>
  <r>
    <s v="ORD-10832"/>
    <n v="44728"/>
    <x v="0"/>
    <x v="1"/>
    <x v="1"/>
    <x v="0"/>
    <x v="1"/>
    <x v="12"/>
    <x v="9"/>
    <x v="2"/>
    <x v="0"/>
    <x v="0"/>
    <s v="N/A"/>
    <n v="1"/>
    <n v="0"/>
    <n v="0"/>
    <n v="0"/>
    <n v="0"/>
    <x v="9"/>
    <e v="#VALUE!"/>
  </r>
  <r>
    <s v="ORD-10228"/>
    <n v="44894"/>
    <x v="0"/>
    <x v="0"/>
    <x v="12"/>
    <x v="1"/>
    <x v="3"/>
    <x v="19"/>
    <x v="5"/>
    <x v="3"/>
    <x v="1"/>
    <x v="1"/>
    <n v="27.86"/>
    <n v="22"/>
    <n v="0"/>
    <n v="612.91999999999996"/>
    <n v="0"/>
    <n v="612.91999999999996"/>
    <x v="762"/>
    <n v="380.01"/>
  </r>
  <r>
    <s v="ORD-10863"/>
    <n v="45186"/>
    <x v="0"/>
    <x v="1"/>
    <x v="5"/>
    <x v="1"/>
    <x v="3"/>
    <x v="7"/>
    <x v="0"/>
    <x v="1"/>
    <x v="3"/>
    <x v="1"/>
    <n v="13.71"/>
    <n v="24"/>
    <n v="0"/>
    <n v="329.04"/>
    <n v="0"/>
    <n v="329.04"/>
    <x v="763"/>
    <n v="204"/>
  </r>
  <r>
    <s v="ORD-10189"/>
    <n v="44680"/>
    <x v="0"/>
    <x v="3"/>
    <x v="11"/>
    <x v="3"/>
    <x v="0"/>
    <x v="20"/>
    <x v="7"/>
    <x v="4"/>
    <x v="2"/>
    <x v="1"/>
    <n v="24.87"/>
    <n v="6"/>
    <n v="0.05"/>
    <n v="149.22"/>
    <n v="7.4610000000000003"/>
    <n v="141.75899999999999"/>
    <x v="321"/>
    <n v="63.788999999999987"/>
  </r>
  <r>
    <s v="ORD-10110"/>
    <n v="45082"/>
    <x v="0"/>
    <x v="4"/>
    <x v="13"/>
    <x v="0"/>
    <x v="1"/>
    <x v="1"/>
    <x v="6"/>
    <x v="0"/>
    <x v="2"/>
    <x v="1"/>
    <n v="394.05"/>
    <n v="3"/>
    <n v="0.1"/>
    <n v="1182.1500000000001"/>
    <n v="118.21500000000002"/>
    <n v="1063.9350000000002"/>
    <x v="764"/>
    <n v="553.24500000000012"/>
  </r>
  <r>
    <s v="ORD-10194"/>
    <n v="45167"/>
    <x v="0"/>
    <x v="3"/>
    <x v="8"/>
    <x v="3"/>
    <x v="0"/>
    <x v="0"/>
    <x v="5"/>
    <x v="1"/>
    <x v="4"/>
    <x v="1"/>
    <n v="16"/>
    <m/>
    <n v="0.2"/>
    <n v="0"/>
    <n v="0"/>
    <n v="0"/>
    <x v="9"/>
    <e v="#VALUE!"/>
  </r>
  <r>
    <s v="ORD-10970"/>
    <n v="45027"/>
    <x v="0"/>
    <x v="4"/>
    <x v="10"/>
    <x v="1"/>
    <x v="4"/>
    <x v="9"/>
    <x v="5"/>
    <x v="3"/>
    <x v="2"/>
    <x v="1"/>
    <n v="542.62"/>
    <n v="5"/>
    <n v="0.05"/>
    <n v="2713.1"/>
    <n v="135.655"/>
    <n v="2577.4449999999997"/>
    <x v="765"/>
    <n v="979.43499999999972"/>
  </r>
  <r>
    <s v="ORD-10199"/>
    <n v="44926"/>
    <x v="0"/>
    <x v="3"/>
    <x v="11"/>
    <x v="1"/>
    <x v="4"/>
    <x v="13"/>
    <x v="7"/>
    <x v="4"/>
    <x v="2"/>
    <x v="2"/>
    <n v="428.95"/>
    <n v="4"/>
    <n v="0"/>
    <n v="1715.8"/>
    <n v="0"/>
    <n v="1715.8"/>
    <x v="766"/>
    <n v="652"/>
  </r>
  <r>
    <s v="ORD-11021"/>
    <n v="45139"/>
    <x v="0"/>
    <x v="0"/>
    <x v="9"/>
    <x v="2"/>
    <x v="2"/>
    <x v="15"/>
    <x v="1"/>
    <x v="4"/>
    <x v="1"/>
    <x v="1"/>
    <n v="190.9"/>
    <n v="6"/>
    <n v="0.05"/>
    <n v="1145.4000000000001"/>
    <n v="57.27000000000001"/>
    <n v="1088.1300000000001"/>
    <x v="767"/>
    <n v="631.12000000000012"/>
  </r>
  <r>
    <s v="ORD-10633"/>
    <n v="44768"/>
    <x v="0"/>
    <x v="1"/>
    <x v="2"/>
    <x v="1"/>
    <x v="3"/>
    <x v="14"/>
    <x v="1"/>
    <x v="3"/>
    <x v="2"/>
    <x v="0"/>
    <n v="6.95"/>
    <m/>
    <n v="0"/>
    <n v="0"/>
    <n v="0"/>
    <n v="0"/>
    <x v="9"/>
    <e v="#VALUE!"/>
  </r>
  <r>
    <s v="ORD-10583"/>
    <n v="45017"/>
    <x v="0"/>
    <x v="0"/>
    <x v="9"/>
    <x v="3"/>
    <x v="4"/>
    <x v="11"/>
    <x v="0"/>
    <x v="1"/>
    <x v="4"/>
    <x v="3"/>
    <n v="730.33"/>
    <n v="8"/>
    <n v="0"/>
    <n v="5842.64"/>
    <n v="0"/>
    <n v="5842.64"/>
    <x v="768"/>
    <n v="2220.2000000000003"/>
  </r>
  <r>
    <s v="ORD-10317"/>
    <n v="45215"/>
    <x v="0"/>
    <x v="2"/>
    <x v="3"/>
    <x v="0"/>
    <x v="1"/>
    <x v="2"/>
    <x v="1"/>
    <x v="2"/>
    <x v="3"/>
    <x v="1"/>
    <n v="250.45"/>
    <n v="7"/>
    <n v="0"/>
    <n v="1753.1499999999999"/>
    <n v="0"/>
    <n v="1753.1499999999999"/>
    <x v="769"/>
    <n v="911.63999999999987"/>
  </r>
  <r>
    <s v="ORD-10512"/>
    <n v="44928"/>
    <x v="0"/>
    <x v="4"/>
    <x v="13"/>
    <x v="0"/>
    <x v="0"/>
    <x v="3"/>
    <x v="8"/>
    <x v="4"/>
    <x v="1"/>
    <x v="2"/>
    <n v="15.56"/>
    <n v="16"/>
    <n v="0.15"/>
    <n v="248.96"/>
    <n v="37.344000000000001"/>
    <n v="211.61600000000001"/>
    <x v="770"/>
    <n v="95.226000000000013"/>
  </r>
  <r>
    <s v="ORD-10790"/>
    <n v="45133"/>
    <x v="0"/>
    <x v="1"/>
    <x v="1"/>
    <x v="1"/>
    <x v="3"/>
    <x v="23"/>
    <x v="2"/>
    <x v="0"/>
    <x v="1"/>
    <x v="2"/>
    <n v="16.82"/>
    <n v="23"/>
    <n v="0"/>
    <n v="386.86"/>
    <n v="0"/>
    <n v="386.86"/>
    <x v="771"/>
    <n v="239.85000000000002"/>
  </r>
  <r>
    <s v="ORD-10021"/>
    <n v="45136"/>
    <x v="0"/>
    <x v="1"/>
    <x v="2"/>
    <x v="3"/>
    <x v="4"/>
    <x v="9"/>
    <x v="3"/>
    <x v="1"/>
    <x v="0"/>
    <x v="0"/>
    <n v="613.15"/>
    <n v="1"/>
    <n v="0"/>
    <n v="613.15"/>
    <n v="0"/>
    <n v="613.15"/>
    <x v="772"/>
    <n v="233"/>
  </r>
  <r>
    <s v="ORD-10301"/>
    <n v="44733"/>
    <x v="0"/>
    <x v="0"/>
    <x v="12"/>
    <x v="0"/>
    <x v="0"/>
    <x v="8"/>
    <x v="9"/>
    <x v="1"/>
    <x v="2"/>
    <x v="1"/>
    <n v="9.41"/>
    <n v="11"/>
    <n v="0.15"/>
    <n v="103.51"/>
    <n v="15.5265"/>
    <n v="87.983500000000006"/>
    <x v="773"/>
    <n v="39.593500000000006"/>
  </r>
  <r>
    <s v="ORD-10105"/>
    <n v="45018"/>
    <x v="0"/>
    <x v="2"/>
    <x v="4"/>
    <x v="2"/>
    <x v="2"/>
    <x v="5"/>
    <x v="8"/>
    <x v="0"/>
    <x v="0"/>
    <x v="2"/>
    <n v="79.849999999999994"/>
    <n v="6"/>
    <n v="0.1"/>
    <n v="479.09999999999997"/>
    <n v="47.91"/>
    <n v="431.18999999999994"/>
    <x v="774"/>
    <n v="250.08999999999995"/>
  </r>
  <r>
    <s v="ORD-10983"/>
    <n v="45240"/>
    <x v="0"/>
    <x v="1"/>
    <x v="1"/>
    <x v="1"/>
    <x v="4"/>
    <x v="4"/>
    <x v="9"/>
    <x v="0"/>
    <x v="1"/>
    <x v="2"/>
    <n v="55.86"/>
    <n v="6"/>
    <n v="0"/>
    <n v="335.15999999999997"/>
    <n v="0"/>
    <n v="335.15999999999997"/>
    <x v="775"/>
    <n v="127.35999999999996"/>
  </r>
  <r>
    <s v="ORD-10338"/>
    <n v="44703"/>
    <x v="0"/>
    <x v="0"/>
    <x v="0"/>
    <x v="0"/>
    <x v="0"/>
    <x v="0"/>
    <x v="9"/>
    <x v="4"/>
    <x v="3"/>
    <x v="1"/>
    <n v="13.16"/>
    <n v="18"/>
    <n v="0.15"/>
    <n v="236.88"/>
    <n v="35.531999999999996"/>
    <n v="201.34800000000001"/>
    <x v="776"/>
    <n v="90.608000000000018"/>
  </r>
  <r>
    <s v="ORD-11039"/>
    <n v="44604"/>
    <x v="0"/>
    <x v="2"/>
    <x v="4"/>
    <x v="1"/>
    <x v="4"/>
    <x v="4"/>
    <x v="11"/>
    <x v="0"/>
    <x v="1"/>
    <x v="1"/>
    <n v="49.09"/>
    <n v="8"/>
    <n v="0.1"/>
    <n v="392.72"/>
    <n v="39.272000000000006"/>
    <n v="353.44800000000004"/>
    <x v="777"/>
    <n v="134.30800000000005"/>
  </r>
  <r>
    <s v="ORD-10582"/>
    <n v="44683"/>
    <x v="0"/>
    <x v="4"/>
    <x v="14"/>
    <x v="1"/>
    <x v="2"/>
    <x v="17"/>
    <x v="8"/>
    <x v="3"/>
    <x v="1"/>
    <x v="3"/>
    <n v="127.64"/>
    <n v="2"/>
    <n v="0.2"/>
    <n v="255.28"/>
    <n v="51.056000000000004"/>
    <n v="204.22399999999999"/>
    <x v="778"/>
    <n v="118.45399999999999"/>
  </r>
  <r>
    <s v="ORD-10652"/>
    <n v="45222"/>
    <x v="0"/>
    <x v="3"/>
    <x v="8"/>
    <x v="0"/>
    <x v="3"/>
    <x v="19"/>
    <x v="3"/>
    <x v="2"/>
    <x v="0"/>
    <x v="3"/>
    <n v="24.32"/>
    <n v="29"/>
    <n v="0.2"/>
    <n v="705.28"/>
    <n v="141.05600000000001"/>
    <n v="564.22399999999993"/>
    <x v="779"/>
    <n v="349.82399999999996"/>
  </r>
  <r>
    <s v="ORD-10393"/>
    <n v="45029"/>
    <x v="0"/>
    <x v="2"/>
    <x v="6"/>
    <x v="3"/>
    <x v="0"/>
    <x v="20"/>
    <x v="0"/>
    <x v="1"/>
    <x v="4"/>
    <x v="0"/>
    <n v="19.260000000000002"/>
    <n v="7"/>
    <n v="0.05"/>
    <n v="134.82000000000002"/>
    <n v="6.7410000000000014"/>
    <n v="128.07900000000001"/>
    <x v="780"/>
    <n v="57.63900000000001"/>
  </r>
  <r>
    <s v="ORD-10593"/>
    <n v="44949"/>
    <x v="0"/>
    <x v="2"/>
    <x v="4"/>
    <x v="1"/>
    <x v="3"/>
    <x v="14"/>
    <x v="8"/>
    <x v="2"/>
    <x v="1"/>
    <x v="3"/>
    <n v="9.06"/>
    <n v="6"/>
    <n v="0.05"/>
    <n v="54.36"/>
    <n v="2.718"/>
    <n v="51.641999999999996"/>
    <x v="781"/>
    <n v="32.021999999999991"/>
  </r>
  <r>
    <s v="ORD-10374"/>
    <n v="44804"/>
    <x v="0"/>
    <x v="2"/>
    <x v="3"/>
    <x v="1"/>
    <x v="2"/>
    <x v="4"/>
    <x v="1"/>
    <x v="2"/>
    <x v="2"/>
    <x v="1"/>
    <n v="50.94"/>
    <n v="2"/>
    <n v="0.1"/>
    <n v="101.88"/>
    <n v="10.188000000000001"/>
    <n v="91.691999999999993"/>
    <x v="782"/>
    <n v="53.181999999999995"/>
  </r>
  <r>
    <s v="ORD-10548"/>
    <n v="44667"/>
    <x v="0"/>
    <x v="3"/>
    <x v="11"/>
    <x v="1"/>
    <x v="3"/>
    <x v="6"/>
    <x v="11"/>
    <x v="3"/>
    <x v="2"/>
    <x v="1"/>
    <n v="370.19"/>
    <n v="30"/>
    <n v="0"/>
    <n v="11105.7"/>
    <n v="0"/>
    <n v="11105.7"/>
    <x v="783"/>
    <n v="6885.5300000000007"/>
  </r>
  <r>
    <s v="ORD-10148"/>
    <n v="44950"/>
    <x v="0"/>
    <x v="2"/>
    <x v="6"/>
    <x v="1"/>
    <x v="2"/>
    <x v="4"/>
    <x v="4"/>
    <x v="2"/>
    <x v="0"/>
    <x v="2"/>
    <n v="46.54"/>
    <n v="6"/>
    <n v="0"/>
    <n v="279.24"/>
    <n v="0"/>
    <n v="279.24"/>
    <x v="784"/>
    <n v="161.96"/>
  </r>
  <r>
    <s v="ORD-11040"/>
    <n v="45100"/>
    <x v="0"/>
    <x v="4"/>
    <x v="13"/>
    <x v="0"/>
    <x v="4"/>
    <x v="11"/>
    <x v="7"/>
    <x v="1"/>
    <x v="2"/>
    <x v="2"/>
    <n v="1006.37"/>
    <n v="2"/>
    <n v="0.1"/>
    <n v="2012.74"/>
    <n v="201.274"/>
    <n v="1811.4659999999999"/>
    <x v="785"/>
    <n v="688.35599999999999"/>
  </r>
  <r>
    <s v="ORD-10534"/>
    <n v="45284"/>
    <x v="0"/>
    <x v="2"/>
    <x v="6"/>
    <x v="1"/>
    <x v="0"/>
    <x v="3"/>
    <x v="11"/>
    <x v="2"/>
    <x v="0"/>
    <x v="1"/>
    <n v="22.11"/>
    <m/>
    <n v="0.1"/>
    <n v="0"/>
    <n v="0"/>
    <n v="0"/>
    <x v="9"/>
    <e v="#VALUE!"/>
  </r>
  <r>
    <s v="ORD-10091"/>
    <n v="45133"/>
    <x v="0"/>
    <x v="3"/>
    <x v="7"/>
    <x v="3"/>
    <x v="3"/>
    <x v="7"/>
    <x v="5"/>
    <x v="2"/>
    <x v="2"/>
    <x v="0"/>
    <n v="14.6"/>
    <n v="10"/>
    <n v="0.15"/>
    <n v="146"/>
    <n v="21.9"/>
    <n v="124.1"/>
    <x v="786"/>
    <n v="76.94"/>
  </r>
  <r>
    <s v="ORD-10467"/>
    <n v="45241"/>
    <x v="0"/>
    <x v="2"/>
    <x v="6"/>
    <x v="2"/>
    <x v="0"/>
    <x v="20"/>
    <x v="3"/>
    <x v="3"/>
    <x v="1"/>
    <x v="2"/>
    <n v="20.87"/>
    <n v="16"/>
    <n v="0.15"/>
    <n v="333.92"/>
    <n v="50.088000000000001"/>
    <n v="283.83199999999999"/>
    <x v="787"/>
    <n v="127.72199999999998"/>
  </r>
  <r>
    <s v="ORD-10779"/>
    <n v="45175"/>
    <x v="0"/>
    <x v="3"/>
    <x v="8"/>
    <x v="0"/>
    <x v="1"/>
    <x v="1"/>
    <x v="10"/>
    <x v="4"/>
    <x v="2"/>
    <x v="1"/>
    <n v="389.18"/>
    <n v="6"/>
    <n v="0.05"/>
    <n v="2335.08"/>
    <n v="116.754"/>
    <n v="2218.326"/>
    <x v="788"/>
    <n v="1153.5260000000001"/>
  </r>
  <r>
    <s v="ORD-10694"/>
    <n v="45079"/>
    <x v="0"/>
    <x v="3"/>
    <x v="7"/>
    <x v="3"/>
    <x v="4"/>
    <x v="11"/>
    <x v="7"/>
    <x v="0"/>
    <x v="4"/>
    <x v="1"/>
    <n v="1008.69"/>
    <n v="5"/>
    <n v="0.2"/>
    <n v="5043.4500000000007"/>
    <n v="1008.6900000000002"/>
    <n v="4034.7600000000007"/>
    <x v="789"/>
    <n v="1533.2100000000005"/>
  </r>
  <r>
    <s v="ORD-10692"/>
    <n v="44859"/>
    <x v="0"/>
    <x v="2"/>
    <x v="3"/>
    <x v="2"/>
    <x v="3"/>
    <x v="14"/>
    <x v="0"/>
    <x v="3"/>
    <x v="3"/>
    <x v="3"/>
    <n v="9.0500000000000007"/>
    <n v="17"/>
    <n v="0"/>
    <n v="153.85000000000002"/>
    <n v="0"/>
    <n v="153.85000000000002"/>
    <x v="790"/>
    <n v="95.390000000000015"/>
  </r>
  <r>
    <s v="ORD-10747"/>
    <n v="45116"/>
    <x v="0"/>
    <x v="2"/>
    <x v="6"/>
    <x v="0"/>
    <x v="4"/>
    <x v="22"/>
    <x v="9"/>
    <x v="4"/>
    <x v="3"/>
    <x v="1"/>
    <n v="357.02"/>
    <n v="1"/>
    <n v="0"/>
    <n v="357.02"/>
    <n v="0"/>
    <n v="357.02"/>
    <x v="791"/>
    <n v="135.66999999999999"/>
  </r>
  <r>
    <s v="ORD-10973"/>
    <n v="44705"/>
    <x v="0"/>
    <x v="0"/>
    <x v="12"/>
    <x v="1"/>
    <x v="1"/>
    <x v="1"/>
    <x v="11"/>
    <x v="4"/>
    <x v="4"/>
    <x v="1"/>
    <n v="383.68"/>
    <n v="8"/>
    <n v="0"/>
    <n v="3069.44"/>
    <n v="0"/>
    <n v="3069.44"/>
    <x v="792"/>
    <n v="1596.1100000000001"/>
  </r>
  <r>
    <s v="ORD-10614"/>
    <n v="44894"/>
    <x v="0"/>
    <x v="1"/>
    <x v="5"/>
    <x v="0"/>
    <x v="0"/>
    <x v="3"/>
    <x v="8"/>
    <x v="4"/>
    <x v="4"/>
    <x v="0"/>
    <n v="17.64"/>
    <n v="2"/>
    <n v="0.15"/>
    <n v="35.28"/>
    <n v="5.2919999999999998"/>
    <n v="29.988"/>
    <x v="793"/>
    <n v="13.498000000000001"/>
  </r>
  <r>
    <s v="ORD-10777"/>
    <n v="44664"/>
    <x v="0"/>
    <x v="3"/>
    <x v="11"/>
    <x v="3"/>
    <x v="2"/>
    <x v="5"/>
    <x v="10"/>
    <x v="0"/>
    <x v="4"/>
    <x v="3"/>
    <n v="80.87"/>
    <n v="2"/>
    <n v="0.05"/>
    <n v="161.74"/>
    <n v="8.0870000000000015"/>
    <n v="153.65300000000002"/>
    <x v="794"/>
    <n v="89.123000000000019"/>
  </r>
  <r>
    <s v="ORD-10619"/>
    <n v="44908"/>
    <x v="0"/>
    <x v="1"/>
    <x v="2"/>
    <x v="0"/>
    <x v="1"/>
    <x v="21"/>
    <x v="1"/>
    <x v="0"/>
    <x v="1"/>
    <x v="1"/>
    <n v="302.05"/>
    <n v="4"/>
    <n v="0"/>
    <n v="1208.2"/>
    <n v="0"/>
    <n v="1208.2"/>
    <x v="795"/>
    <n v="628.26"/>
  </r>
  <r>
    <s v="ORD-10657"/>
    <n v="44709"/>
    <x v="0"/>
    <x v="1"/>
    <x v="5"/>
    <x v="2"/>
    <x v="0"/>
    <x v="20"/>
    <x v="0"/>
    <x v="0"/>
    <x v="3"/>
    <x v="1"/>
    <n v="19.95"/>
    <n v="9"/>
    <n v="0"/>
    <n v="179.54999999999998"/>
    <n v="0"/>
    <n v="179.54999999999998"/>
    <x v="796"/>
    <n v="80.799999999999983"/>
  </r>
  <r>
    <s v="ORD-10565"/>
    <n v="44674"/>
    <x v="0"/>
    <x v="3"/>
    <x v="11"/>
    <x v="0"/>
    <x v="1"/>
    <x v="1"/>
    <x v="6"/>
    <x v="1"/>
    <x v="1"/>
    <x v="1"/>
    <n v="472.41"/>
    <n v="7"/>
    <n v="0.05"/>
    <n v="3306.8700000000003"/>
    <n v="165.34350000000003"/>
    <n v="3141.5265000000004"/>
    <x v="797"/>
    <n v="1633.5965000000003"/>
  </r>
  <r>
    <s v="ORD-10303"/>
    <n v="44968"/>
    <x v="0"/>
    <x v="1"/>
    <x v="2"/>
    <x v="2"/>
    <x v="4"/>
    <x v="4"/>
    <x v="3"/>
    <x v="1"/>
    <x v="2"/>
    <x v="2"/>
    <n v="40.119999999999997"/>
    <n v="3"/>
    <n v="0"/>
    <n v="120.35999999999999"/>
    <n v="0"/>
    <n v="120.35999999999999"/>
    <x v="798"/>
    <n v="45.739999999999981"/>
  </r>
  <r>
    <s v="ORD-10672"/>
    <n v="44865"/>
    <x v="0"/>
    <x v="1"/>
    <x v="1"/>
    <x v="1"/>
    <x v="0"/>
    <x v="0"/>
    <x v="4"/>
    <x v="4"/>
    <x v="2"/>
    <x v="1"/>
    <n v="13.11"/>
    <n v="1"/>
    <n v="0.15"/>
    <n v="13.11"/>
    <n v="1.9664999999999999"/>
    <n v="11.1435"/>
    <x v="799"/>
    <n v="5.0134999999999996"/>
  </r>
  <r>
    <s v="ORD-11002"/>
    <n v="45208"/>
    <x v="0"/>
    <x v="0"/>
    <x v="9"/>
    <x v="3"/>
    <x v="3"/>
    <x v="6"/>
    <x v="9"/>
    <x v="1"/>
    <x v="3"/>
    <x v="2"/>
    <n v="293.44"/>
    <n v="20"/>
    <n v="0.15"/>
    <n v="5868.8"/>
    <n v="880.32"/>
    <n v="4988.4800000000005"/>
    <x v="800"/>
    <n v="3092.8600000000006"/>
  </r>
  <r>
    <s v="ORD-10384"/>
    <n v="45215"/>
    <x v="0"/>
    <x v="1"/>
    <x v="5"/>
    <x v="3"/>
    <x v="4"/>
    <x v="11"/>
    <x v="1"/>
    <x v="4"/>
    <x v="4"/>
    <x v="3"/>
    <n v="1027.1400000000001"/>
    <n v="3"/>
    <n v="0"/>
    <n v="3081.42"/>
    <n v="0"/>
    <n v="3081.42"/>
    <x v="801"/>
    <n v="1170.94"/>
  </r>
  <r>
    <s v="ORD-10827"/>
    <n v="45012"/>
    <x v="0"/>
    <x v="1"/>
    <x v="1"/>
    <x v="1"/>
    <x v="4"/>
    <x v="4"/>
    <x v="8"/>
    <x v="4"/>
    <x v="4"/>
    <x v="1"/>
    <n v="46.14"/>
    <n v="4"/>
    <n v="0"/>
    <n v="184.56"/>
    <n v="0"/>
    <n v="184.56"/>
    <x v="802"/>
    <n v="70.13"/>
  </r>
  <r>
    <s v="ORD-10872"/>
    <n v="44960"/>
    <x v="0"/>
    <x v="0"/>
    <x v="12"/>
    <x v="0"/>
    <x v="3"/>
    <x v="14"/>
    <x v="3"/>
    <x v="1"/>
    <x v="1"/>
    <x v="1"/>
    <n v="9.65"/>
    <n v="24"/>
    <n v="0.1"/>
    <n v="231.60000000000002"/>
    <n v="23.160000000000004"/>
    <n v="208.44000000000003"/>
    <x v="803"/>
    <n v="129.23000000000002"/>
  </r>
  <r>
    <s v="ORD-10639"/>
    <n v="45014"/>
    <x v="0"/>
    <x v="4"/>
    <x v="13"/>
    <x v="1"/>
    <x v="0"/>
    <x v="16"/>
    <x v="11"/>
    <x v="2"/>
    <x v="0"/>
    <x v="2"/>
    <n v="14.31"/>
    <n v="30"/>
    <n v="0.15"/>
    <n v="429.3"/>
    <n v="64.394999999999996"/>
    <n v="364.90500000000003"/>
    <x v="804"/>
    <n v="164.20500000000004"/>
  </r>
  <r>
    <s v="ORD-10785"/>
    <n v="45106"/>
    <x v="0"/>
    <x v="3"/>
    <x v="8"/>
    <x v="3"/>
    <x v="1"/>
    <x v="2"/>
    <x v="3"/>
    <x v="1"/>
    <x v="1"/>
    <x v="3"/>
    <n v="242.7"/>
    <n v="7"/>
    <n v="0"/>
    <n v="1698.8999999999999"/>
    <n v="0"/>
    <n v="1698.8999999999999"/>
    <x v="805"/>
    <n v="883.42999999999984"/>
  </r>
  <r>
    <s v="ORD-10430"/>
    <n v="44809"/>
    <x v="0"/>
    <x v="2"/>
    <x v="4"/>
    <x v="3"/>
    <x v="4"/>
    <x v="11"/>
    <x v="1"/>
    <x v="1"/>
    <x v="3"/>
    <x v="1"/>
    <n v="1050.3499999999999"/>
    <n v="3"/>
    <n v="0.2"/>
    <n v="3151.0499999999997"/>
    <n v="630.21"/>
    <n v="2520.8399999999997"/>
    <x v="806"/>
    <n v="957.91999999999962"/>
  </r>
  <r>
    <s v="ORD-10640"/>
    <n v="44944"/>
    <x v="0"/>
    <x v="1"/>
    <x v="5"/>
    <x v="2"/>
    <x v="2"/>
    <x v="4"/>
    <x v="10"/>
    <x v="2"/>
    <x v="2"/>
    <x v="0"/>
    <n v="51.59"/>
    <m/>
    <n v="0.15"/>
    <n v="0"/>
    <n v="0"/>
    <n v="0"/>
    <x v="9"/>
    <e v="#VALUE!"/>
  </r>
  <r>
    <s v="ORD-10638"/>
    <n v="45027"/>
    <x v="0"/>
    <x v="0"/>
    <x v="9"/>
    <x v="0"/>
    <x v="3"/>
    <x v="19"/>
    <x v="0"/>
    <x v="2"/>
    <x v="3"/>
    <x v="1"/>
    <n v="22.14"/>
    <n v="6"/>
    <n v="0.15"/>
    <n v="132.84"/>
    <n v="19.925999999999998"/>
    <n v="112.914"/>
    <x v="807"/>
    <n v="70.004000000000005"/>
  </r>
  <r>
    <s v="ORD-10586"/>
    <n v="44651"/>
    <x v="0"/>
    <x v="2"/>
    <x v="3"/>
    <x v="3"/>
    <x v="4"/>
    <x v="11"/>
    <x v="0"/>
    <x v="3"/>
    <x v="0"/>
    <x v="1"/>
    <n v="866.34"/>
    <n v="1"/>
    <n v="0"/>
    <n v="866.34"/>
    <n v="0"/>
    <n v="866.34"/>
    <x v="808"/>
    <n v="329.21000000000004"/>
  </r>
  <r>
    <s v="ORD-10723"/>
    <n v="44939"/>
    <x v="0"/>
    <x v="1"/>
    <x v="1"/>
    <x v="0"/>
    <x v="1"/>
    <x v="18"/>
    <x v="11"/>
    <x v="1"/>
    <x v="3"/>
    <x v="1"/>
    <n v="474.44"/>
    <n v="6"/>
    <n v="0"/>
    <n v="2846.64"/>
    <n v="0"/>
    <n v="2846.64"/>
    <x v="809"/>
    <n v="1480.2499999999998"/>
  </r>
  <r>
    <s v="ORD-10612"/>
    <n v="44725"/>
    <x v="0"/>
    <x v="2"/>
    <x v="6"/>
    <x v="0"/>
    <x v="0"/>
    <x v="20"/>
    <x v="3"/>
    <x v="0"/>
    <x v="3"/>
    <x v="3"/>
    <n v="21.37"/>
    <n v="8"/>
    <n v="0"/>
    <n v="170.96"/>
    <n v="0"/>
    <n v="170.96"/>
    <x v="810"/>
    <n v="76.930000000000007"/>
  </r>
  <r>
    <s v="ORD-10774"/>
    <n v="44907"/>
    <x v="0"/>
    <x v="3"/>
    <x v="11"/>
    <x v="1"/>
    <x v="2"/>
    <x v="17"/>
    <x v="11"/>
    <x v="4"/>
    <x v="3"/>
    <x v="1"/>
    <n v="112.24"/>
    <n v="5"/>
    <n v="0.1"/>
    <n v="561.19999999999993"/>
    <n v="56.12"/>
    <n v="505.07999999999993"/>
    <x v="811"/>
    <n v="292.94999999999993"/>
  </r>
  <r>
    <s v="ORD-10412"/>
    <n v="45223"/>
    <x v="0"/>
    <x v="0"/>
    <x v="12"/>
    <x v="3"/>
    <x v="0"/>
    <x v="8"/>
    <x v="3"/>
    <x v="0"/>
    <x v="4"/>
    <x v="1"/>
    <n v="12.09"/>
    <n v="10"/>
    <n v="0"/>
    <n v="120.9"/>
    <n v="0"/>
    <n v="120.9"/>
    <x v="812"/>
    <n v="54.400000000000006"/>
  </r>
  <r>
    <s v="ORD-10169"/>
    <n v="44626"/>
    <x v="0"/>
    <x v="2"/>
    <x v="6"/>
    <x v="2"/>
    <x v="0"/>
    <x v="0"/>
    <x v="2"/>
    <x v="2"/>
    <x v="1"/>
    <x v="2"/>
    <n v="14.32"/>
    <n v="28"/>
    <n v="0.05"/>
    <n v="400.96000000000004"/>
    <n v="20.048000000000002"/>
    <n v="380.91200000000003"/>
    <x v="813"/>
    <n v="171.41200000000003"/>
  </r>
  <r>
    <s v="ORD-10826"/>
    <n v="45115"/>
    <x v="0"/>
    <x v="0"/>
    <x v="9"/>
    <x v="3"/>
    <x v="3"/>
    <x v="23"/>
    <x v="6"/>
    <x v="4"/>
    <x v="1"/>
    <x v="1"/>
    <n v="18.350000000000001"/>
    <n v="9"/>
    <n v="0"/>
    <n v="165.15"/>
    <n v="0"/>
    <n v="165.15"/>
    <x v="814"/>
    <n v="102.39000000000001"/>
  </r>
  <r>
    <s v="ORD-10596"/>
    <n v="44997"/>
    <x v="0"/>
    <x v="2"/>
    <x v="4"/>
    <x v="1"/>
    <x v="3"/>
    <x v="19"/>
    <x v="8"/>
    <x v="3"/>
    <x v="3"/>
    <x v="1"/>
    <n v="30.9"/>
    <n v="22"/>
    <n v="0.2"/>
    <n v="679.8"/>
    <n v="135.96"/>
    <n v="543.83999999999992"/>
    <x v="815"/>
    <n v="337.17999999999995"/>
  </r>
  <r>
    <s v="ORD-10261"/>
    <n v="44851"/>
    <x v="0"/>
    <x v="1"/>
    <x v="5"/>
    <x v="0"/>
    <x v="3"/>
    <x v="7"/>
    <x v="3"/>
    <x v="0"/>
    <x v="4"/>
    <x v="1"/>
    <n v="14.51"/>
    <n v="7"/>
    <n v="0"/>
    <n v="101.57"/>
    <n v="0"/>
    <n v="101.57"/>
    <x v="816"/>
    <n v="62.969999999999992"/>
  </r>
  <r>
    <s v="ORD-10463"/>
    <n v="44828"/>
    <x v="0"/>
    <x v="4"/>
    <x v="10"/>
    <x v="1"/>
    <x v="2"/>
    <x v="17"/>
    <x v="10"/>
    <x v="4"/>
    <x v="2"/>
    <x v="1"/>
    <n v="99.74"/>
    <n v="2"/>
    <n v="0"/>
    <n v="199.48"/>
    <n v="0"/>
    <n v="199.48"/>
    <x v="817"/>
    <n v="115.69999999999999"/>
  </r>
  <r>
    <s v="ORD-10731"/>
    <n v="44717"/>
    <x v="0"/>
    <x v="1"/>
    <x v="5"/>
    <x v="1"/>
    <x v="0"/>
    <x v="3"/>
    <x v="4"/>
    <x v="0"/>
    <x v="4"/>
    <x v="1"/>
    <n v="16.57"/>
    <n v="24"/>
    <n v="0.1"/>
    <n v="397.68"/>
    <n v="39.768000000000001"/>
    <n v="357.91200000000003"/>
    <x v="818"/>
    <n v="161.06200000000004"/>
  </r>
  <r>
    <s v="ORD-10016"/>
    <n v="45105"/>
    <x v="0"/>
    <x v="4"/>
    <x v="13"/>
    <x v="3"/>
    <x v="0"/>
    <x v="20"/>
    <x v="5"/>
    <x v="1"/>
    <x v="3"/>
    <x v="1"/>
    <n v="22.25"/>
    <n v="29"/>
    <n v="0.1"/>
    <n v="645.25"/>
    <n v="64.525000000000006"/>
    <n v="580.72500000000002"/>
    <x v="819"/>
    <n v="261.32500000000005"/>
  </r>
  <r>
    <s v="ORD-10186"/>
    <n v="45073"/>
    <x v="0"/>
    <x v="2"/>
    <x v="6"/>
    <x v="1"/>
    <x v="0"/>
    <x v="20"/>
    <x v="2"/>
    <x v="2"/>
    <x v="1"/>
    <x v="2"/>
    <n v="21.92"/>
    <n v="22"/>
    <n v="0"/>
    <n v="482.24"/>
    <n v="0"/>
    <n v="482.24"/>
    <x v="820"/>
    <n v="217.01"/>
  </r>
  <r>
    <s v="ORD-10292"/>
    <n v="45251"/>
    <x v="0"/>
    <x v="0"/>
    <x v="9"/>
    <x v="0"/>
    <x v="0"/>
    <x v="0"/>
    <x v="10"/>
    <x v="2"/>
    <x v="0"/>
    <x v="1"/>
    <n v="13.85"/>
    <n v="24"/>
    <n v="0.15"/>
    <n v="332.4"/>
    <n v="49.859999999999992"/>
    <n v="282.53999999999996"/>
    <x v="821"/>
    <n v="127.13999999999996"/>
  </r>
  <r>
    <s v="ORD-10296"/>
    <n v="44895"/>
    <x v="0"/>
    <x v="0"/>
    <x v="0"/>
    <x v="1"/>
    <x v="3"/>
    <x v="19"/>
    <x v="3"/>
    <x v="2"/>
    <x v="1"/>
    <x v="1"/>
    <n v="30.84"/>
    <n v="11"/>
    <n v="0"/>
    <n v="339.24"/>
    <n v="0"/>
    <n v="339.24"/>
    <x v="822"/>
    <n v="210.33"/>
  </r>
  <r>
    <s v="ORD-10822"/>
    <n v="44896"/>
    <x v="0"/>
    <x v="2"/>
    <x v="3"/>
    <x v="2"/>
    <x v="3"/>
    <x v="7"/>
    <x v="2"/>
    <x v="1"/>
    <x v="2"/>
    <x v="0"/>
    <n v="14.88"/>
    <n v="25"/>
    <n v="0"/>
    <n v="372"/>
    <n v="0"/>
    <n v="372"/>
    <x v="372"/>
    <n v="230.64"/>
  </r>
  <r>
    <s v="ORD-10066"/>
    <n v="45055"/>
    <x v="0"/>
    <x v="0"/>
    <x v="0"/>
    <x v="1"/>
    <x v="3"/>
    <x v="14"/>
    <x v="10"/>
    <x v="1"/>
    <x v="1"/>
    <x v="1"/>
    <n v="9.9"/>
    <n v="26"/>
    <n v="0.1"/>
    <n v="257.40000000000003"/>
    <n v="25.740000000000006"/>
    <n v="231.66000000000003"/>
    <x v="823"/>
    <n v="143.63000000000002"/>
  </r>
  <r>
    <s v="ORD-10724"/>
    <n v="45226"/>
    <x v="0"/>
    <x v="1"/>
    <x v="2"/>
    <x v="1"/>
    <x v="1"/>
    <x v="18"/>
    <x v="3"/>
    <x v="3"/>
    <x v="3"/>
    <x v="3"/>
    <n v="479.51"/>
    <n v="2"/>
    <n v="0.2"/>
    <n v="959.02"/>
    <n v="191.804"/>
    <n v="767.21600000000001"/>
    <x v="824"/>
    <n v="398.94600000000003"/>
  </r>
  <r>
    <s v="ORD-10594"/>
    <n v="45000"/>
    <x v="0"/>
    <x v="2"/>
    <x v="4"/>
    <x v="0"/>
    <x v="1"/>
    <x v="12"/>
    <x v="4"/>
    <x v="1"/>
    <x v="0"/>
    <x v="2"/>
    <n v="166.33"/>
    <n v="2"/>
    <n v="0"/>
    <n v="332.66"/>
    <n v="0"/>
    <n v="332.66"/>
    <x v="825"/>
    <n v="172.98000000000002"/>
  </r>
  <r>
    <s v="ORD-10578"/>
    <n v="44718"/>
    <x v="0"/>
    <x v="4"/>
    <x v="10"/>
    <x v="3"/>
    <x v="1"/>
    <x v="2"/>
    <x v="5"/>
    <x v="0"/>
    <x v="4"/>
    <x v="1"/>
    <n v="274.20999999999998"/>
    <n v="7"/>
    <n v="0"/>
    <n v="1919.4699999999998"/>
    <n v="0"/>
    <n v="1919.4699999999998"/>
    <x v="826"/>
    <n v="998.11999999999978"/>
  </r>
  <r>
    <s v="ORD-10377"/>
    <n v="45154"/>
    <x v="0"/>
    <x v="4"/>
    <x v="10"/>
    <x v="1"/>
    <x v="4"/>
    <x v="13"/>
    <x v="8"/>
    <x v="3"/>
    <x v="2"/>
    <x v="1"/>
    <n v="353.2"/>
    <n v="2"/>
    <n v="0.2"/>
    <n v="706.4"/>
    <n v="141.28"/>
    <n v="565.12"/>
    <x v="827"/>
    <n v="214.75"/>
  </r>
  <r>
    <s v="ORD-10519"/>
    <n v="44982"/>
    <x v="0"/>
    <x v="4"/>
    <x v="10"/>
    <x v="2"/>
    <x v="0"/>
    <x v="20"/>
    <x v="10"/>
    <x v="0"/>
    <x v="4"/>
    <x v="2"/>
    <s v="N/A"/>
    <n v="22"/>
    <n v="0.2"/>
    <n v="0"/>
    <n v="0"/>
    <n v="0"/>
    <x v="9"/>
    <e v="#VALUE!"/>
  </r>
  <r>
    <s v="ORD-10048"/>
    <n v="44832"/>
    <x v="0"/>
    <x v="1"/>
    <x v="2"/>
    <x v="1"/>
    <x v="1"/>
    <x v="1"/>
    <x v="3"/>
    <x v="1"/>
    <x v="1"/>
    <x v="1"/>
    <n v="391.48"/>
    <n v="8"/>
    <n v="0"/>
    <n v="3131.84"/>
    <n v="0"/>
    <n v="3131.84"/>
    <x v="828"/>
    <n v="1628.5600000000002"/>
  </r>
  <r>
    <s v="ORD-10841"/>
    <n v="45085"/>
    <x v="0"/>
    <x v="4"/>
    <x v="13"/>
    <x v="3"/>
    <x v="1"/>
    <x v="2"/>
    <x v="6"/>
    <x v="2"/>
    <x v="3"/>
    <x v="0"/>
    <n v="236.53"/>
    <n v="1"/>
    <n v="0.2"/>
    <n v="236.53"/>
    <n v="47.306000000000004"/>
    <n v="189.22399999999999"/>
    <x v="829"/>
    <n v="98.393999999999991"/>
  </r>
  <r>
    <s v="ORD-10620"/>
    <n v="44607"/>
    <x v="0"/>
    <x v="1"/>
    <x v="5"/>
    <x v="3"/>
    <x v="3"/>
    <x v="14"/>
    <x v="3"/>
    <x v="0"/>
    <x v="1"/>
    <x v="1"/>
    <n v="6.88"/>
    <n v="14"/>
    <n v="0.05"/>
    <n v="96.32"/>
    <n v="4.8159999999999998"/>
    <n v="91.503999999999991"/>
    <x v="830"/>
    <n v="56.733999999999988"/>
  </r>
  <r>
    <s v="ORD-11000"/>
    <n v="44721"/>
    <x v="0"/>
    <x v="1"/>
    <x v="2"/>
    <x v="0"/>
    <x v="1"/>
    <x v="2"/>
    <x v="7"/>
    <x v="4"/>
    <x v="2"/>
    <x v="2"/>
    <n v="197.69"/>
    <n v="8"/>
    <n v="0.1"/>
    <n v="1581.52"/>
    <n v="158.15200000000002"/>
    <n v="1423.3679999999999"/>
    <x v="831"/>
    <n v="740.14799999999991"/>
  </r>
  <r>
    <s v="ORD-11008"/>
    <n v="44643"/>
    <x v="0"/>
    <x v="2"/>
    <x v="4"/>
    <x v="2"/>
    <x v="0"/>
    <x v="3"/>
    <x v="3"/>
    <x v="2"/>
    <x v="2"/>
    <x v="2"/>
    <n v="17.55"/>
    <n v="29"/>
    <n v="0.05"/>
    <n v="508.95000000000005"/>
    <n v="25.447500000000005"/>
    <n v="483.50250000000005"/>
    <x v="832"/>
    <n v="217.57250000000005"/>
  </r>
  <r>
    <s v="ORD-10707"/>
    <n v="45067"/>
    <x v="0"/>
    <x v="1"/>
    <x v="5"/>
    <x v="2"/>
    <x v="0"/>
    <x v="20"/>
    <x v="2"/>
    <x v="1"/>
    <x v="4"/>
    <x v="0"/>
    <n v="26.51"/>
    <n v="16"/>
    <n v="0"/>
    <n v="424.16"/>
    <n v="0"/>
    <n v="424.16"/>
    <x v="833"/>
    <n v="190.87000000000003"/>
  </r>
  <r>
    <s v="ORD-10379"/>
    <n v="44595"/>
    <x v="0"/>
    <x v="0"/>
    <x v="9"/>
    <x v="3"/>
    <x v="1"/>
    <x v="18"/>
    <x v="5"/>
    <x v="0"/>
    <x v="4"/>
    <x v="2"/>
    <n v="501.42"/>
    <n v="3"/>
    <n v="0"/>
    <n v="1504.26"/>
    <n v="0"/>
    <n v="1504.26"/>
    <x v="834"/>
    <n v="782.22"/>
  </r>
  <r>
    <s v="ORD-10920"/>
    <n v="44800"/>
    <x v="0"/>
    <x v="4"/>
    <x v="13"/>
    <x v="0"/>
    <x v="0"/>
    <x v="3"/>
    <x v="2"/>
    <x v="0"/>
    <x v="4"/>
    <x v="1"/>
    <n v="18.84"/>
    <n v="22"/>
    <n v="0.15"/>
    <n v="414.48"/>
    <n v="62.171999999999997"/>
    <n v="352.30799999999999"/>
    <x v="835"/>
    <n v="158.53799999999998"/>
  </r>
  <r>
    <s v="ORD-10104"/>
    <n v="44957"/>
    <x v="0"/>
    <x v="0"/>
    <x v="9"/>
    <x v="1"/>
    <x v="2"/>
    <x v="15"/>
    <x v="2"/>
    <x v="3"/>
    <x v="0"/>
    <x v="1"/>
    <n v="141.05000000000001"/>
    <n v="3"/>
    <n v="0.1"/>
    <n v="423.15000000000003"/>
    <n v="42.315000000000005"/>
    <n v="380.83500000000004"/>
    <x v="836"/>
    <n v="220.88500000000005"/>
  </r>
  <r>
    <s v="ORD-11048"/>
    <n v="45257"/>
    <x v="0"/>
    <x v="4"/>
    <x v="14"/>
    <x v="1"/>
    <x v="1"/>
    <x v="1"/>
    <x v="9"/>
    <x v="2"/>
    <x v="1"/>
    <x v="1"/>
    <n v="452.93"/>
    <n v="2"/>
    <n v="0"/>
    <n v="905.86"/>
    <n v="0"/>
    <n v="905.86"/>
    <x v="837"/>
    <n v="471.05"/>
  </r>
  <r>
    <s v="ORD-10127"/>
    <n v="45014"/>
    <x v="0"/>
    <x v="0"/>
    <x v="0"/>
    <x v="0"/>
    <x v="2"/>
    <x v="5"/>
    <x v="6"/>
    <x v="3"/>
    <x v="0"/>
    <x v="0"/>
    <n v="63.34"/>
    <n v="4"/>
    <n v="0"/>
    <n v="253.36"/>
    <n v="0"/>
    <n v="253.36"/>
    <x v="838"/>
    <n v="146.95000000000002"/>
  </r>
  <r>
    <s v="ORD-10741"/>
    <n v="45037"/>
    <x v="0"/>
    <x v="0"/>
    <x v="0"/>
    <x v="1"/>
    <x v="4"/>
    <x v="13"/>
    <x v="8"/>
    <x v="0"/>
    <x v="1"/>
    <x v="2"/>
    <n v="436.17"/>
    <n v="4"/>
    <n v="0"/>
    <n v="1744.68"/>
    <n v="0"/>
    <n v="1744.68"/>
    <x v="839"/>
    <n v="662.98"/>
  </r>
  <r>
    <s v="ORD-10629"/>
    <n v="44868"/>
    <x v="0"/>
    <x v="3"/>
    <x v="7"/>
    <x v="3"/>
    <x v="3"/>
    <x v="6"/>
    <x v="4"/>
    <x v="1"/>
    <x v="0"/>
    <x v="1"/>
    <n v="279.68"/>
    <n v="21"/>
    <n v="0"/>
    <n v="5873.28"/>
    <n v="0"/>
    <n v="5873.28"/>
    <x v="840"/>
    <n v="3641.43"/>
  </r>
  <r>
    <s v="ORD-10383"/>
    <n v="44662"/>
    <x v="0"/>
    <x v="2"/>
    <x v="6"/>
    <x v="2"/>
    <x v="2"/>
    <x v="17"/>
    <x v="6"/>
    <x v="2"/>
    <x v="0"/>
    <x v="1"/>
    <n v="94.54"/>
    <n v="2"/>
    <n v="0"/>
    <n v="189.08"/>
    <n v="0"/>
    <n v="189.08"/>
    <x v="841"/>
    <n v="109.67000000000002"/>
  </r>
  <r>
    <s v="ORD-10660"/>
    <n v="45086"/>
    <x v="0"/>
    <x v="4"/>
    <x v="13"/>
    <x v="3"/>
    <x v="3"/>
    <x v="14"/>
    <x v="6"/>
    <x v="1"/>
    <x v="0"/>
    <x v="1"/>
    <n v="7.07"/>
    <n v="23"/>
    <n v="0"/>
    <n v="162.61000000000001"/>
    <n v="0"/>
    <n v="162.61000000000001"/>
    <x v="842"/>
    <n v="100.82000000000002"/>
  </r>
  <r>
    <s v="ORD-10239"/>
    <n v="44831"/>
    <x v="0"/>
    <x v="2"/>
    <x v="6"/>
    <x v="1"/>
    <x v="3"/>
    <x v="6"/>
    <x v="7"/>
    <x v="4"/>
    <x v="2"/>
    <x v="0"/>
    <n v="388.53"/>
    <m/>
    <n v="0.05"/>
    <n v="0"/>
    <n v="0"/>
    <n v="0"/>
    <x v="9"/>
    <e v="#VALUE!"/>
  </r>
  <r>
    <s v="ORD-10972"/>
    <n v="44867"/>
    <x v="0"/>
    <x v="1"/>
    <x v="5"/>
    <x v="0"/>
    <x v="2"/>
    <x v="15"/>
    <x v="9"/>
    <x v="2"/>
    <x v="0"/>
    <x v="1"/>
    <n v="167.18"/>
    <n v="1"/>
    <n v="0"/>
    <n v="167.18"/>
    <n v="0"/>
    <n v="167.18"/>
    <x v="843"/>
    <n v="96.960000000000008"/>
  </r>
  <r>
    <s v="ORD-11010"/>
    <n v="44668"/>
    <x v="0"/>
    <x v="1"/>
    <x v="1"/>
    <x v="2"/>
    <x v="1"/>
    <x v="1"/>
    <x v="5"/>
    <x v="3"/>
    <x v="1"/>
    <x v="2"/>
    <n v="426.57"/>
    <n v="5"/>
    <n v="0.1"/>
    <n v="2132.85"/>
    <n v="213.285"/>
    <n v="1919.5649999999998"/>
    <x v="844"/>
    <n v="998.17499999999984"/>
  </r>
  <r>
    <s v="ORD-10417"/>
    <n v="44896"/>
    <x v="0"/>
    <x v="1"/>
    <x v="5"/>
    <x v="2"/>
    <x v="1"/>
    <x v="18"/>
    <x v="3"/>
    <x v="4"/>
    <x v="0"/>
    <x v="1"/>
    <n v="397.55"/>
    <n v="8"/>
    <n v="0.15"/>
    <n v="3180.4"/>
    <n v="477.06"/>
    <n v="2703.34"/>
    <x v="845"/>
    <n v="1405.7400000000002"/>
  </r>
  <r>
    <s v="ORD-10139"/>
    <n v="44790"/>
    <x v="0"/>
    <x v="1"/>
    <x v="2"/>
    <x v="1"/>
    <x v="3"/>
    <x v="6"/>
    <x v="4"/>
    <x v="3"/>
    <x v="4"/>
    <x v="0"/>
    <n v="377.39"/>
    <n v="8"/>
    <n v="0.05"/>
    <n v="3019.12"/>
    <n v="150.95599999999999"/>
    <n v="2868.1639999999998"/>
    <x v="846"/>
    <n v="1778.2639999999997"/>
  </r>
  <r>
    <s v="ORD-10541"/>
    <n v="44724"/>
    <x v="0"/>
    <x v="2"/>
    <x v="4"/>
    <x v="3"/>
    <x v="3"/>
    <x v="7"/>
    <x v="6"/>
    <x v="3"/>
    <x v="4"/>
    <x v="1"/>
    <n v="10.24"/>
    <n v="5"/>
    <n v="0.05"/>
    <n v="51.2"/>
    <n v="2.5600000000000005"/>
    <n v="48.64"/>
    <x v="847"/>
    <n v="30.16"/>
  </r>
  <r>
    <s v="ORD-10915"/>
    <n v="44865"/>
    <x v="0"/>
    <x v="1"/>
    <x v="2"/>
    <x v="1"/>
    <x v="2"/>
    <x v="10"/>
    <x v="2"/>
    <x v="0"/>
    <x v="1"/>
    <x v="2"/>
    <n v="58.97"/>
    <n v="8"/>
    <n v="0.2"/>
    <n v="471.76"/>
    <n v="94.352000000000004"/>
    <n v="377.40800000000002"/>
    <x v="848"/>
    <n v="218.89800000000002"/>
  </r>
  <r>
    <s v="ORD-10754"/>
    <n v="44892"/>
    <x v="0"/>
    <x v="2"/>
    <x v="3"/>
    <x v="3"/>
    <x v="0"/>
    <x v="0"/>
    <x v="5"/>
    <x v="2"/>
    <x v="3"/>
    <x v="3"/>
    <n v="17.57"/>
    <n v="23"/>
    <n v="0"/>
    <n v="404.11"/>
    <n v="0"/>
    <n v="404.11"/>
    <x v="849"/>
    <n v="181.85000000000002"/>
  </r>
  <r>
    <s v="ORD-10959"/>
    <n v="44924"/>
    <x v="0"/>
    <x v="4"/>
    <x v="13"/>
    <x v="1"/>
    <x v="4"/>
    <x v="22"/>
    <x v="1"/>
    <x v="2"/>
    <x v="1"/>
    <x v="1"/>
    <n v="325.94"/>
    <n v="1"/>
    <n v="0"/>
    <n v="325.94"/>
    <n v="0"/>
    <n v="325.94"/>
    <x v="850"/>
    <n v="123.85999999999999"/>
  </r>
  <r>
    <s v="ORD-10683"/>
    <n v="44930"/>
    <x v="0"/>
    <x v="4"/>
    <x v="10"/>
    <x v="1"/>
    <x v="4"/>
    <x v="9"/>
    <x v="9"/>
    <x v="1"/>
    <x v="0"/>
    <x v="3"/>
    <n v="746.96"/>
    <n v="3"/>
    <n v="0"/>
    <n v="2240.88"/>
    <n v="0"/>
    <n v="2240.88"/>
    <x v="851"/>
    <n v="851.5300000000002"/>
  </r>
  <r>
    <s v="ORD-10883"/>
    <n v="45120"/>
    <x v="0"/>
    <x v="1"/>
    <x v="2"/>
    <x v="1"/>
    <x v="2"/>
    <x v="4"/>
    <x v="4"/>
    <x v="0"/>
    <x v="0"/>
    <x v="3"/>
    <n v="46.34"/>
    <n v="4"/>
    <n v="0.15"/>
    <n v="185.36"/>
    <n v="27.804000000000002"/>
    <n v="157.55600000000001"/>
    <x v="852"/>
    <n v="91.376000000000005"/>
  </r>
  <r>
    <s v="ORD-10488"/>
    <n v="45001"/>
    <x v="0"/>
    <x v="3"/>
    <x v="7"/>
    <x v="3"/>
    <x v="2"/>
    <x v="4"/>
    <x v="4"/>
    <x v="2"/>
    <x v="2"/>
    <x v="2"/>
    <n v="52.11"/>
    <n v="2"/>
    <n v="0"/>
    <n v="104.22"/>
    <n v="0"/>
    <n v="104.22"/>
    <x v="853"/>
    <n v="60.449999999999996"/>
  </r>
  <r>
    <s v="ORD-11019"/>
    <n v="44851"/>
    <x v="0"/>
    <x v="0"/>
    <x v="9"/>
    <x v="1"/>
    <x v="0"/>
    <x v="8"/>
    <x v="1"/>
    <x v="3"/>
    <x v="1"/>
    <x v="3"/>
    <n v="12.41"/>
    <n v="1"/>
    <n v="0"/>
    <n v="12.41"/>
    <n v="0"/>
    <n v="12.41"/>
    <x v="854"/>
    <n v="5.58"/>
  </r>
  <r>
    <s v="ORD-10350"/>
    <n v="45270"/>
    <x v="0"/>
    <x v="2"/>
    <x v="4"/>
    <x v="2"/>
    <x v="0"/>
    <x v="0"/>
    <x v="10"/>
    <x v="3"/>
    <x v="0"/>
    <x v="1"/>
    <n v="17.36"/>
    <n v="11"/>
    <n v="0"/>
    <n v="190.95999999999998"/>
    <n v="0"/>
    <n v="190.95999999999998"/>
    <x v="855"/>
    <n v="85.929999999999978"/>
  </r>
  <r>
    <s v="ORD-10198"/>
    <n v="44774"/>
    <x v="0"/>
    <x v="3"/>
    <x v="7"/>
    <x v="0"/>
    <x v="2"/>
    <x v="17"/>
    <x v="0"/>
    <x v="1"/>
    <x v="1"/>
    <x v="3"/>
    <n v="129.86000000000001"/>
    <n v="1"/>
    <n v="0"/>
    <n v="129.86000000000001"/>
    <n v="0"/>
    <n v="129.86000000000001"/>
    <x v="856"/>
    <n v="75.320000000000022"/>
  </r>
  <r>
    <s v="ORD-10798"/>
    <n v="45034"/>
    <x v="0"/>
    <x v="2"/>
    <x v="4"/>
    <x v="2"/>
    <x v="4"/>
    <x v="22"/>
    <x v="2"/>
    <x v="4"/>
    <x v="1"/>
    <x v="2"/>
    <n v="298.45999999999998"/>
    <n v="1"/>
    <n v="0.15"/>
    <n v="298.45999999999998"/>
    <n v="44.768999999999998"/>
    <n v="253.69099999999997"/>
    <x v="857"/>
    <n v="96.400999999999982"/>
  </r>
  <r>
    <s v="ORD-10458"/>
    <n v="45133"/>
    <x v="0"/>
    <x v="2"/>
    <x v="4"/>
    <x v="3"/>
    <x v="1"/>
    <x v="2"/>
    <x v="10"/>
    <x v="4"/>
    <x v="0"/>
    <x v="3"/>
    <n v="191.38"/>
    <n v="7"/>
    <n v="0.1"/>
    <n v="1339.6599999999999"/>
    <n v="133.96599999999998"/>
    <n v="1205.694"/>
    <x v="858"/>
    <n v="626.96399999999994"/>
  </r>
  <r>
    <s v="ORD-10540"/>
    <n v="44982"/>
    <x v="0"/>
    <x v="3"/>
    <x v="8"/>
    <x v="2"/>
    <x v="4"/>
    <x v="9"/>
    <x v="3"/>
    <x v="0"/>
    <x v="4"/>
    <x v="3"/>
    <n v="603.36"/>
    <n v="4"/>
    <n v="0"/>
    <n v="2413.44"/>
    <n v="0"/>
    <n v="2413.44"/>
    <x v="859"/>
    <n v="917.11000000000013"/>
  </r>
  <r>
    <s v="ORD-10812"/>
    <n v="45043"/>
    <x v="0"/>
    <x v="3"/>
    <x v="8"/>
    <x v="0"/>
    <x v="1"/>
    <x v="2"/>
    <x v="9"/>
    <x v="2"/>
    <x v="2"/>
    <x v="2"/>
    <n v="243.13"/>
    <n v="3"/>
    <n v="0"/>
    <n v="729.39"/>
    <n v="0"/>
    <n v="729.39"/>
    <x v="860"/>
    <n v="379.28"/>
  </r>
  <r>
    <s v="ORD-10005"/>
    <n v="45142"/>
    <x v="0"/>
    <x v="0"/>
    <x v="9"/>
    <x v="3"/>
    <x v="2"/>
    <x v="15"/>
    <x v="4"/>
    <x v="0"/>
    <x v="1"/>
    <x v="1"/>
    <n v="151.78"/>
    <n v="5"/>
    <n v="0.15"/>
    <n v="758.9"/>
    <n v="113.83499999999999"/>
    <n v="645.06499999999994"/>
    <x v="861"/>
    <n v="374.13499999999993"/>
  </r>
  <r>
    <s v="ORD-10567"/>
    <n v="44604"/>
    <x v="0"/>
    <x v="1"/>
    <x v="2"/>
    <x v="1"/>
    <x v="0"/>
    <x v="20"/>
    <x v="9"/>
    <x v="3"/>
    <x v="3"/>
    <x v="1"/>
    <n v="22.86"/>
    <n v="11"/>
    <n v="0.1"/>
    <n v="251.45999999999998"/>
    <n v="25.146000000000001"/>
    <n v="226.31399999999996"/>
    <x v="862"/>
    <n v="101.84399999999997"/>
  </r>
  <r>
    <s v="ORD-10917"/>
    <n v="45006"/>
    <x v="0"/>
    <x v="0"/>
    <x v="12"/>
    <x v="2"/>
    <x v="1"/>
    <x v="12"/>
    <x v="1"/>
    <x v="1"/>
    <x v="0"/>
    <x v="1"/>
    <n v="168.46"/>
    <n v="1"/>
    <n v="0.15"/>
    <n v="168.46"/>
    <n v="25.269000000000002"/>
    <n v="143.191"/>
    <x v="863"/>
    <n v="74.460999999999999"/>
  </r>
  <r>
    <s v="ORD-10311"/>
    <n v="44963"/>
    <x v="0"/>
    <x v="1"/>
    <x v="5"/>
    <x v="2"/>
    <x v="2"/>
    <x v="5"/>
    <x v="6"/>
    <x v="2"/>
    <x v="4"/>
    <x v="1"/>
    <n v="86.79"/>
    <n v="4"/>
    <n v="0.05"/>
    <n v="347.16"/>
    <n v="17.358000000000001"/>
    <n v="329.80200000000002"/>
    <x v="864"/>
    <n v="191.28200000000001"/>
  </r>
  <r>
    <s v="ORD-10247"/>
    <n v="45071"/>
    <x v="0"/>
    <x v="1"/>
    <x v="2"/>
    <x v="2"/>
    <x v="2"/>
    <x v="15"/>
    <x v="11"/>
    <x v="3"/>
    <x v="3"/>
    <x v="1"/>
    <n v="186.67"/>
    <n v="5"/>
    <n v="0.1"/>
    <n v="933.34999999999991"/>
    <n v="93.334999999999994"/>
    <n v="840.01499999999987"/>
    <x v="865"/>
    <n v="487.20499999999987"/>
  </r>
  <r>
    <s v="ORD-10041"/>
    <n v="44811"/>
    <x v="0"/>
    <x v="3"/>
    <x v="11"/>
    <x v="3"/>
    <x v="0"/>
    <x v="16"/>
    <x v="2"/>
    <x v="1"/>
    <x v="4"/>
    <x v="1"/>
    <n v="12.54"/>
    <n v="12"/>
    <n v="0.2"/>
    <n v="150.47999999999999"/>
    <n v="30.096"/>
    <n v="120.38399999999999"/>
    <x v="866"/>
    <n v="54.173999999999992"/>
  </r>
  <r>
    <s v="ORD-10767"/>
    <n v="44565"/>
    <x v="0"/>
    <x v="0"/>
    <x v="12"/>
    <x v="2"/>
    <x v="0"/>
    <x v="3"/>
    <x v="0"/>
    <x v="2"/>
    <x v="4"/>
    <x v="0"/>
    <n v="19.38"/>
    <n v="15"/>
    <n v="0"/>
    <n v="290.7"/>
    <n v="0"/>
    <n v="290.7"/>
    <x v="867"/>
    <n v="130.81"/>
  </r>
  <r>
    <s v="ORD-10297"/>
    <n v="44935"/>
    <x v="0"/>
    <x v="3"/>
    <x v="7"/>
    <x v="3"/>
    <x v="2"/>
    <x v="5"/>
    <x v="1"/>
    <x v="4"/>
    <x v="3"/>
    <x v="3"/>
    <n v="82.3"/>
    <n v="5"/>
    <n v="0.2"/>
    <n v="411.5"/>
    <n v="82.300000000000011"/>
    <n v="329.2"/>
    <x v="868"/>
    <n v="190.94"/>
  </r>
  <r>
    <s v="ORD-10270"/>
    <n v="44845"/>
    <x v="0"/>
    <x v="0"/>
    <x v="9"/>
    <x v="1"/>
    <x v="3"/>
    <x v="6"/>
    <x v="10"/>
    <x v="0"/>
    <x v="0"/>
    <x v="1"/>
    <n v="342.61"/>
    <n v="6"/>
    <n v="0.15"/>
    <n v="2055.66"/>
    <n v="308.34899999999999"/>
    <n v="1747.3109999999999"/>
    <x v="869"/>
    <n v="1083.3309999999999"/>
  </r>
  <r>
    <s v="ORD-10851"/>
    <n v="45205"/>
    <x v="0"/>
    <x v="3"/>
    <x v="11"/>
    <x v="0"/>
    <x v="4"/>
    <x v="9"/>
    <x v="1"/>
    <x v="4"/>
    <x v="2"/>
    <x v="3"/>
    <s v="N/A"/>
    <n v="7"/>
    <n v="0.2"/>
    <n v="0"/>
    <n v="0"/>
    <n v="0"/>
    <x v="9"/>
    <e v="#VALUE!"/>
  </r>
  <r>
    <s v="ORD-10537"/>
    <n v="45264"/>
    <x v="0"/>
    <x v="3"/>
    <x v="11"/>
    <x v="2"/>
    <x v="0"/>
    <x v="3"/>
    <x v="2"/>
    <x v="3"/>
    <x v="2"/>
    <x v="0"/>
    <n v="21.94"/>
    <n v="5"/>
    <n v="0"/>
    <n v="109.7"/>
    <n v="0"/>
    <n v="109.7"/>
    <x v="870"/>
    <n v="49.36"/>
  </r>
  <r>
    <s v="ORD-10215"/>
    <n v="44969"/>
    <x v="0"/>
    <x v="3"/>
    <x v="7"/>
    <x v="0"/>
    <x v="3"/>
    <x v="14"/>
    <x v="4"/>
    <x v="3"/>
    <x v="4"/>
    <x v="1"/>
    <n v="9.6300000000000008"/>
    <n v="12"/>
    <n v="0"/>
    <n v="115.56"/>
    <n v="0"/>
    <n v="115.56"/>
    <x v="871"/>
    <n v="71.650000000000006"/>
  </r>
  <r>
    <s v="ORD-10636"/>
    <n v="45075"/>
    <x v="0"/>
    <x v="2"/>
    <x v="4"/>
    <x v="0"/>
    <x v="0"/>
    <x v="8"/>
    <x v="2"/>
    <x v="0"/>
    <x v="1"/>
    <x v="1"/>
    <n v="9.94"/>
    <n v="28"/>
    <n v="0.05"/>
    <n v="278.32"/>
    <n v="13.916"/>
    <n v="264.404"/>
    <x v="872"/>
    <n v="118.98400000000001"/>
  </r>
  <r>
    <s v="ORD-10146"/>
    <n v="44771"/>
    <x v="0"/>
    <x v="3"/>
    <x v="8"/>
    <x v="0"/>
    <x v="0"/>
    <x v="3"/>
    <x v="7"/>
    <x v="0"/>
    <x v="4"/>
    <x v="0"/>
    <n v="17.52"/>
    <n v="12"/>
    <n v="0.1"/>
    <n v="210.24"/>
    <n v="21.024000000000001"/>
    <n v="189.21600000000001"/>
    <x v="873"/>
    <n v="85.146000000000015"/>
  </r>
  <r>
    <s v="ORD-11037"/>
    <n v="44603"/>
    <x v="0"/>
    <x v="2"/>
    <x v="3"/>
    <x v="0"/>
    <x v="2"/>
    <x v="10"/>
    <x v="11"/>
    <x v="3"/>
    <x v="2"/>
    <x v="1"/>
    <n v="66.239999999999995"/>
    <n v="7"/>
    <n v="0"/>
    <n v="463.67999999999995"/>
    <n v="0"/>
    <n v="463.67999999999995"/>
    <x v="874"/>
    <n v="268.92999999999995"/>
  </r>
  <r>
    <s v="ORD-10659"/>
    <n v="44744"/>
    <x v="0"/>
    <x v="2"/>
    <x v="4"/>
    <x v="2"/>
    <x v="0"/>
    <x v="20"/>
    <x v="0"/>
    <x v="2"/>
    <x v="0"/>
    <x v="2"/>
    <n v="20.09"/>
    <n v="24"/>
    <n v="0"/>
    <n v="482.15999999999997"/>
    <n v="0"/>
    <n v="482.15999999999997"/>
    <x v="875"/>
    <n v="216.96999999999997"/>
  </r>
  <r>
    <s v="ORD-10574"/>
    <n v="45231"/>
    <x v="0"/>
    <x v="2"/>
    <x v="3"/>
    <x v="2"/>
    <x v="1"/>
    <x v="1"/>
    <x v="7"/>
    <x v="1"/>
    <x v="0"/>
    <x v="1"/>
    <n v="336.55"/>
    <n v="4"/>
    <n v="0.15"/>
    <n v="1346.2"/>
    <n v="201.93"/>
    <n v="1144.27"/>
    <x v="876"/>
    <n v="595.02"/>
  </r>
  <r>
    <s v="ORD-10982"/>
    <n v="44713"/>
    <x v="0"/>
    <x v="2"/>
    <x v="6"/>
    <x v="0"/>
    <x v="1"/>
    <x v="1"/>
    <x v="10"/>
    <x v="4"/>
    <x v="2"/>
    <x v="3"/>
    <n v="385.72"/>
    <n v="7"/>
    <n v="0.05"/>
    <n v="2700.04"/>
    <n v="135.00200000000001"/>
    <n v="2565.038"/>
    <x v="877"/>
    <n v="1333.818"/>
  </r>
  <r>
    <s v="ORD-10434"/>
    <n v="44708"/>
    <x v="0"/>
    <x v="3"/>
    <x v="7"/>
    <x v="3"/>
    <x v="0"/>
    <x v="20"/>
    <x v="8"/>
    <x v="4"/>
    <x v="2"/>
    <x v="1"/>
    <n v="21.68"/>
    <n v="20"/>
    <n v="0.2"/>
    <n v="433.6"/>
    <n v="86.720000000000013"/>
    <n v="346.88"/>
    <x v="878"/>
    <n v="156.1"/>
  </r>
  <r>
    <s v="ORD-10496"/>
    <n v="45283"/>
    <x v="0"/>
    <x v="2"/>
    <x v="4"/>
    <x v="3"/>
    <x v="4"/>
    <x v="9"/>
    <x v="10"/>
    <x v="0"/>
    <x v="2"/>
    <x v="3"/>
    <n v="736.58"/>
    <n v="6"/>
    <n v="0"/>
    <n v="4419.4800000000005"/>
    <n v="0"/>
    <n v="4419.4800000000005"/>
    <x v="879"/>
    <n v="1679.4000000000005"/>
  </r>
  <r>
    <s v="ORD-10867"/>
    <n v="44738"/>
    <x v="0"/>
    <x v="4"/>
    <x v="10"/>
    <x v="2"/>
    <x v="0"/>
    <x v="16"/>
    <x v="5"/>
    <x v="3"/>
    <x v="1"/>
    <x v="1"/>
    <n v="14.39"/>
    <n v="30"/>
    <n v="0"/>
    <n v="431.70000000000005"/>
    <n v="0"/>
    <n v="431.70000000000005"/>
    <x v="880"/>
    <n v="194.26000000000005"/>
  </r>
  <r>
    <s v="ORD-10641"/>
    <n v="44724"/>
    <x v="0"/>
    <x v="2"/>
    <x v="3"/>
    <x v="1"/>
    <x v="4"/>
    <x v="9"/>
    <x v="9"/>
    <x v="0"/>
    <x v="2"/>
    <x v="1"/>
    <n v="622.44000000000005"/>
    <n v="8"/>
    <n v="0"/>
    <n v="4979.5200000000004"/>
    <n v="0"/>
    <n v="4979.5200000000004"/>
    <x v="881"/>
    <n v="1892.2200000000003"/>
  </r>
  <r>
    <s v="ORD-10497"/>
    <n v="44603"/>
    <x v="0"/>
    <x v="2"/>
    <x v="6"/>
    <x v="1"/>
    <x v="4"/>
    <x v="13"/>
    <x v="7"/>
    <x v="2"/>
    <x v="0"/>
    <x v="1"/>
    <n v="344.48"/>
    <n v="3"/>
    <n v="0"/>
    <n v="1033.44"/>
    <n v="0"/>
    <n v="1033.44"/>
    <x v="882"/>
    <n v="392.71000000000004"/>
  </r>
  <r>
    <s v="ORD-10111"/>
    <n v="45052"/>
    <x v="0"/>
    <x v="2"/>
    <x v="3"/>
    <x v="2"/>
    <x v="2"/>
    <x v="4"/>
    <x v="0"/>
    <x v="4"/>
    <x v="0"/>
    <x v="3"/>
    <n v="46.35"/>
    <n v="6"/>
    <n v="0"/>
    <n v="278.10000000000002"/>
    <n v="0"/>
    <n v="278.10000000000002"/>
    <x v="883"/>
    <n v="161.30000000000001"/>
  </r>
  <r>
    <s v="ORD-10585"/>
    <n v="44627"/>
    <x v="0"/>
    <x v="2"/>
    <x v="4"/>
    <x v="3"/>
    <x v="0"/>
    <x v="20"/>
    <x v="6"/>
    <x v="1"/>
    <x v="1"/>
    <x v="0"/>
    <n v="18.75"/>
    <n v="15"/>
    <n v="0.2"/>
    <n v="281.25"/>
    <n v="56.25"/>
    <n v="225"/>
    <x v="884"/>
    <n v="101.25"/>
  </r>
  <r>
    <s v="ORD-10446"/>
    <n v="45073"/>
    <x v="0"/>
    <x v="4"/>
    <x v="10"/>
    <x v="2"/>
    <x v="2"/>
    <x v="17"/>
    <x v="4"/>
    <x v="3"/>
    <x v="3"/>
    <x v="2"/>
    <n v="116.48"/>
    <n v="6"/>
    <n v="0.05"/>
    <n v="698.88"/>
    <n v="34.944000000000003"/>
    <n v="663.93600000000004"/>
    <x v="885"/>
    <n v="385.08600000000001"/>
  </r>
  <r>
    <s v="ORD-10187"/>
    <n v="44631"/>
    <x v="0"/>
    <x v="1"/>
    <x v="1"/>
    <x v="1"/>
    <x v="1"/>
    <x v="2"/>
    <x v="11"/>
    <x v="0"/>
    <x v="3"/>
    <x v="1"/>
    <n v="224.27"/>
    <n v="7"/>
    <n v="0"/>
    <n v="1569.89"/>
    <n v="0"/>
    <n v="1569.89"/>
    <x v="886"/>
    <n v="816.34000000000015"/>
  </r>
  <r>
    <s v="ORD-11036"/>
    <n v="44713"/>
    <x v="0"/>
    <x v="2"/>
    <x v="4"/>
    <x v="2"/>
    <x v="0"/>
    <x v="8"/>
    <x v="10"/>
    <x v="2"/>
    <x v="4"/>
    <x v="0"/>
    <n v="9.1"/>
    <n v="27"/>
    <n v="0.2"/>
    <n v="245.7"/>
    <n v="49.14"/>
    <n v="196.56"/>
    <x v="887"/>
    <n v="88.45"/>
  </r>
  <r>
    <s v="ORD-10521"/>
    <n v="44692"/>
    <x v="0"/>
    <x v="0"/>
    <x v="0"/>
    <x v="3"/>
    <x v="2"/>
    <x v="4"/>
    <x v="4"/>
    <x v="2"/>
    <x v="0"/>
    <x v="0"/>
    <n v="40.9"/>
    <n v="5"/>
    <n v="0.1"/>
    <n v="204.5"/>
    <n v="20.450000000000003"/>
    <n v="184.05"/>
    <x v="888"/>
    <n v="106.75000000000001"/>
  </r>
  <r>
    <s v="ORD-10440"/>
    <n v="45166"/>
    <x v="0"/>
    <x v="1"/>
    <x v="2"/>
    <x v="0"/>
    <x v="3"/>
    <x v="23"/>
    <x v="8"/>
    <x v="3"/>
    <x v="2"/>
    <x v="3"/>
    <n v="18.04"/>
    <n v="14"/>
    <n v="0"/>
    <n v="252.56"/>
    <n v="0"/>
    <n v="252.56"/>
    <x v="889"/>
    <n v="156.59"/>
  </r>
  <r>
    <s v="ORD-10984"/>
    <n v="44967"/>
    <x v="0"/>
    <x v="2"/>
    <x v="6"/>
    <x v="3"/>
    <x v="2"/>
    <x v="15"/>
    <x v="6"/>
    <x v="2"/>
    <x v="1"/>
    <x v="0"/>
    <n v="157.51"/>
    <n v="6"/>
    <n v="0.1"/>
    <n v="945.06"/>
    <n v="94.506"/>
    <n v="850.55399999999997"/>
    <x v="890"/>
    <n v="493.32399999999996"/>
  </r>
  <r>
    <s v="ORD-10053"/>
    <n v="45088"/>
    <x v="0"/>
    <x v="1"/>
    <x v="5"/>
    <x v="0"/>
    <x v="0"/>
    <x v="16"/>
    <x v="9"/>
    <x v="1"/>
    <x v="1"/>
    <x v="0"/>
    <n v="13.19"/>
    <n v="16"/>
    <n v="0.15"/>
    <n v="211.04"/>
    <n v="31.655999999999999"/>
    <n v="179.38399999999999"/>
    <x v="891"/>
    <n v="80.72399999999999"/>
  </r>
  <r>
    <s v="ORD-10364"/>
    <n v="45028"/>
    <x v="0"/>
    <x v="0"/>
    <x v="0"/>
    <x v="0"/>
    <x v="2"/>
    <x v="15"/>
    <x v="6"/>
    <x v="4"/>
    <x v="1"/>
    <x v="0"/>
    <n v="194.42"/>
    <n v="7"/>
    <n v="0"/>
    <n v="1360.9399999999998"/>
    <n v="0"/>
    <n v="1360.9399999999998"/>
    <x v="892"/>
    <n v="789.3499999999998"/>
  </r>
  <r>
    <s v="ORD-10348"/>
    <n v="44784"/>
    <x v="0"/>
    <x v="2"/>
    <x v="4"/>
    <x v="2"/>
    <x v="2"/>
    <x v="15"/>
    <x v="9"/>
    <x v="0"/>
    <x v="2"/>
    <x v="0"/>
    <n v="151.66"/>
    <n v="5"/>
    <n v="0.1"/>
    <n v="758.3"/>
    <n v="75.83"/>
    <n v="682.46999999999991"/>
    <x v="893"/>
    <n v="395.82999999999993"/>
  </r>
  <r>
    <s v="ORD-10919"/>
    <n v="45273"/>
    <x v="0"/>
    <x v="4"/>
    <x v="10"/>
    <x v="3"/>
    <x v="4"/>
    <x v="9"/>
    <x v="10"/>
    <x v="4"/>
    <x v="2"/>
    <x v="1"/>
    <n v="567.41999999999996"/>
    <n v="1"/>
    <n v="0"/>
    <n v="567.41999999999996"/>
    <n v="0"/>
    <n v="567.41999999999996"/>
    <x v="894"/>
    <n v="215.61999999999995"/>
  </r>
  <r>
    <s v="ORD-10260"/>
    <n v="45195"/>
    <x v="0"/>
    <x v="2"/>
    <x v="3"/>
    <x v="3"/>
    <x v="0"/>
    <x v="20"/>
    <x v="0"/>
    <x v="2"/>
    <x v="4"/>
    <x v="1"/>
    <n v="27.14"/>
    <n v="22"/>
    <n v="0"/>
    <n v="597.08000000000004"/>
    <n v="0"/>
    <n v="597.08000000000004"/>
    <x v="895"/>
    <n v="268.69000000000005"/>
  </r>
  <r>
    <s v="ORD-10223"/>
    <n v="44724"/>
    <x v="0"/>
    <x v="1"/>
    <x v="1"/>
    <x v="3"/>
    <x v="0"/>
    <x v="16"/>
    <x v="5"/>
    <x v="3"/>
    <x v="3"/>
    <x v="1"/>
    <n v="11.13"/>
    <n v="27"/>
    <n v="0"/>
    <n v="300.51000000000005"/>
    <n v="0"/>
    <n v="300.51000000000005"/>
    <x v="896"/>
    <n v="135.23000000000005"/>
  </r>
  <r>
    <s v="ORD-10786"/>
    <n v="45098"/>
    <x v="0"/>
    <x v="2"/>
    <x v="3"/>
    <x v="2"/>
    <x v="4"/>
    <x v="11"/>
    <x v="2"/>
    <x v="2"/>
    <x v="2"/>
    <x v="1"/>
    <n v="852.35"/>
    <n v="2"/>
    <n v="0"/>
    <n v="1704.7"/>
    <n v="0"/>
    <n v="1704.7"/>
    <x v="897"/>
    <n v="647.79"/>
  </r>
  <r>
    <s v="ORD-10179"/>
    <n v="45153"/>
    <x v="0"/>
    <x v="4"/>
    <x v="10"/>
    <x v="1"/>
    <x v="2"/>
    <x v="17"/>
    <x v="4"/>
    <x v="1"/>
    <x v="2"/>
    <x v="1"/>
    <n v="94.22"/>
    <n v="3"/>
    <n v="0.05"/>
    <n v="282.65999999999997"/>
    <n v="14.132999999999999"/>
    <n v="268.52699999999999"/>
    <x v="898"/>
    <n v="155.74699999999999"/>
  </r>
  <r>
    <s v="ORD-10102"/>
    <n v="44908"/>
    <x v="0"/>
    <x v="4"/>
    <x v="10"/>
    <x v="1"/>
    <x v="2"/>
    <x v="15"/>
    <x v="4"/>
    <x v="4"/>
    <x v="1"/>
    <x v="1"/>
    <n v="138.37"/>
    <n v="4"/>
    <n v="0"/>
    <n v="553.48"/>
    <n v="0"/>
    <n v="553.48"/>
    <x v="899"/>
    <n v="321.02"/>
  </r>
  <r>
    <s v="ORD-10217"/>
    <n v="45148"/>
    <x v="0"/>
    <x v="4"/>
    <x v="14"/>
    <x v="3"/>
    <x v="3"/>
    <x v="14"/>
    <x v="9"/>
    <x v="1"/>
    <x v="3"/>
    <x v="0"/>
    <n v="7.18"/>
    <n v="25"/>
    <n v="0.05"/>
    <n v="179.5"/>
    <n v="8.9749999999999996"/>
    <n v="170.52500000000001"/>
    <x v="900"/>
    <n v="105.72500000000001"/>
  </r>
  <r>
    <s v="ORD-10763"/>
    <n v="45183"/>
    <x v="0"/>
    <x v="0"/>
    <x v="9"/>
    <x v="2"/>
    <x v="3"/>
    <x v="6"/>
    <x v="9"/>
    <x v="1"/>
    <x v="0"/>
    <x v="1"/>
    <n v="396.31"/>
    <n v="27"/>
    <n v="0"/>
    <n v="10700.37"/>
    <n v="0"/>
    <n v="10700.37"/>
    <x v="901"/>
    <n v="6634.2300000000014"/>
  </r>
  <r>
    <s v="ORD-10962"/>
    <n v="45251"/>
    <x v="0"/>
    <x v="3"/>
    <x v="7"/>
    <x v="1"/>
    <x v="0"/>
    <x v="3"/>
    <x v="2"/>
    <x v="1"/>
    <x v="4"/>
    <x v="0"/>
    <n v="21.34"/>
    <n v="20"/>
    <n v="0"/>
    <n v="426.8"/>
    <n v="0"/>
    <n v="426.8"/>
    <x v="902"/>
    <n v="192.06"/>
  </r>
  <r>
    <s v="ORD-10328"/>
    <n v="44613"/>
    <x v="0"/>
    <x v="3"/>
    <x v="7"/>
    <x v="0"/>
    <x v="0"/>
    <x v="8"/>
    <x v="3"/>
    <x v="1"/>
    <x v="1"/>
    <x v="2"/>
    <n v="11.65"/>
    <n v="5"/>
    <n v="0"/>
    <n v="58.25"/>
    <n v="0"/>
    <n v="58.25"/>
    <x v="903"/>
    <n v="26.21"/>
  </r>
  <r>
    <s v="ORD-11029"/>
    <n v="45094"/>
    <x v="0"/>
    <x v="2"/>
    <x v="4"/>
    <x v="3"/>
    <x v="0"/>
    <x v="8"/>
    <x v="1"/>
    <x v="2"/>
    <x v="4"/>
    <x v="1"/>
    <n v="12.31"/>
    <n v="14"/>
    <n v="0"/>
    <n v="172.34"/>
    <n v="0"/>
    <n v="172.34"/>
    <x v="904"/>
    <n v="77.55"/>
  </r>
  <r>
    <s v="ORD-10466"/>
    <n v="45288"/>
    <x v="0"/>
    <x v="2"/>
    <x v="3"/>
    <x v="2"/>
    <x v="2"/>
    <x v="15"/>
    <x v="0"/>
    <x v="4"/>
    <x v="2"/>
    <x v="1"/>
    <n v="149.04"/>
    <n v="5"/>
    <n v="0"/>
    <n v="745.19999999999993"/>
    <n v="0"/>
    <n v="745.19999999999993"/>
    <x v="905"/>
    <n v="432.21999999999991"/>
  </r>
  <r>
    <s v="ORD-10701"/>
    <n v="45208"/>
    <x v="0"/>
    <x v="1"/>
    <x v="2"/>
    <x v="3"/>
    <x v="3"/>
    <x v="14"/>
    <x v="8"/>
    <x v="0"/>
    <x v="4"/>
    <x v="1"/>
    <n v="7.43"/>
    <n v="16"/>
    <n v="0.05"/>
    <n v="118.88"/>
    <n v="5.944"/>
    <n v="112.93599999999999"/>
    <x v="906"/>
    <n v="70.015999999999991"/>
  </r>
  <r>
    <s v="ORD-11032"/>
    <n v="45127"/>
    <x v="0"/>
    <x v="1"/>
    <x v="1"/>
    <x v="3"/>
    <x v="0"/>
    <x v="8"/>
    <x v="0"/>
    <x v="2"/>
    <x v="0"/>
    <x v="1"/>
    <n v="11.81"/>
    <n v="2"/>
    <n v="0.05"/>
    <n v="23.62"/>
    <n v="1.181"/>
    <n v="22.439"/>
    <x v="907"/>
    <n v="10.099"/>
  </r>
  <r>
    <s v="ORD-10395"/>
    <n v="44811"/>
    <x v="0"/>
    <x v="2"/>
    <x v="6"/>
    <x v="2"/>
    <x v="1"/>
    <x v="2"/>
    <x v="4"/>
    <x v="3"/>
    <x v="4"/>
    <x v="1"/>
    <s v="N/A"/>
    <n v="2"/>
    <n v="0"/>
    <n v="0"/>
    <n v="0"/>
    <n v="0"/>
    <x v="9"/>
    <e v="#VALUE!"/>
  </r>
  <r>
    <s v="ORD-10027"/>
    <n v="44692"/>
    <x v="0"/>
    <x v="4"/>
    <x v="14"/>
    <x v="2"/>
    <x v="2"/>
    <x v="5"/>
    <x v="1"/>
    <x v="3"/>
    <x v="0"/>
    <x v="2"/>
    <n v="68.010000000000005"/>
    <n v="4"/>
    <n v="0.05"/>
    <n v="272.04000000000002"/>
    <n v="13.602000000000002"/>
    <n v="258.43800000000005"/>
    <x v="908"/>
    <n v="149.89800000000002"/>
  </r>
  <r>
    <s v="ORD-10781"/>
    <n v="44726"/>
    <x v="0"/>
    <x v="0"/>
    <x v="9"/>
    <x v="1"/>
    <x v="0"/>
    <x v="8"/>
    <x v="9"/>
    <x v="0"/>
    <x v="2"/>
    <x v="2"/>
    <n v="10.19"/>
    <n v="2"/>
    <n v="0"/>
    <n v="20.38"/>
    <n v="0"/>
    <n v="20.38"/>
    <x v="909"/>
    <n v="9.1699999999999982"/>
  </r>
  <r>
    <s v="ORD-10892"/>
    <n v="45195"/>
    <x v="0"/>
    <x v="3"/>
    <x v="8"/>
    <x v="3"/>
    <x v="0"/>
    <x v="8"/>
    <x v="4"/>
    <x v="0"/>
    <x v="0"/>
    <x v="3"/>
    <n v="12.4"/>
    <n v="22"/>
    <n v="0"/>
    <n v="272.8"/>
    <n v="0"/>
    <n v="272.8"/>
    <x v="910"/>
    <n v="122.76000000000002"/>
  </r>
  <r>
    <s v="ORD-10837"/>
    <n v="44597"/>
    <x v="0"/>
    <x v="3"/>
    <x v="11"/>
    <x v="2"/>
    <x v="4"/>
    <x v="9"/>
    <x v="5"/>
    <x v="1"/>
    <x v="1"/>
    <x v="3"/>
    <n v="710.49"/>
    <m/>
    <n v="0"/>
    <n v="0"/>
    <n v="0"/>
    <n v="0"/>
    <x v="9"/>
    <e v="#VALUE!"/>
  </r>
  <r>
    <s v="ORD-10090"/>
    <n v="45011"/>
    <x v="0"/>
    <x v="2"/>
    <x v="4"/>
    <x v="1"/>
    <x v="0"/>
    <x v="0"/>
    <x v="2"/>
    <x v="2"/>
    <x v="0"/>
    <x v="2"/>
    <n v="17.399999999999999"/>
    <n v="22"/>
    <n v="0.1"/>
    <n v="382.79999999999995"/>
    <n v="38.279999999999994"/>
    <n v="344.52"/>
    <x v="911"/>
    <n v="155.02999999999997"/>
  </r>
  <r>
    <s v="ORD-10622"/>
    <n v="44744"/>
    <x v="0"/>
    <x v="3"/>
    <x v="11"/>
    <x v="0"/>
    <x v="3"/>
    <x v="7"/>
    <x v="5"/>
    <x v="0"/>
    <x v="1"/>
    <x v="3"/>
    <n v="13.2"/>
    <n v="10"/>
    <n v="0"/>
    <n v="132"/>
    <n v="0"/>
    <n v="132"/>
    <x v="912"/>
    <n v="81.84"/>
  </r>
  <r>
    <s v="ORD-10905"/>
    <n v="45062"/>
    <x v="0"/>
    <x v="0"/>
    <x v="0"/>
    <x v="0"/>
    <x v="1"/>
    <x v="1"/>
    <x v="1"/>
    <x v="4"/>
    <x v="2"/>
    <x v="3"/>
    <n v="385.28"/>
    <n v="8"/>
    <n v="0"/>
    <n v="3082.24"/>
    <n v="0"/>
    <n v="3082.24"/>
    <x v="913"/>
    <n v="1602.7599999999998"/>
  </r>
  <r>
    <s v="ORD-10407"/>
    <n v="44644"/>
    <x v="0"/>
    <x v="2"/>
    <x v="3"/>
    <x v="1"/>
    <x v="4"/>
    <x v="22"/>
    <x v="4"/>
    <x v="2"/>
    <x v="2"/>
    <x v="1"/>
    <n v="348.68"/>
    <n v="1"/>
    <n v="0"/>
    <n v="348.68"/>
    <n v="0"/>
    <n v="348.68"/>
    <x v="914"/>
    <n v="132.5"/>
  </r>
  <r>
    <s v="ORD-10399"/>
    <n v="44615"/>
    <x v="0"/>
    <x v="2"/>
    <x v="6"/>
    <x v="3"/>
    <x v="1"/>
    <x v="2"/>
    <x v="10"/>
    <x v="3"/>
    <x v="2"/>
    <x v="1"/>
    <n v="250.48"/>
    <n v="6"/>
    <n v="0.05"/>
    <n v="1502.8799999999999"/>
    <n v="75.143999999999991"/>
    <n v="1427.7359999999999"/>
    <x v="915"/>
    <n v="742.41599999999983"/>
  </r>
  <r>
    <s v="ORD-10369"/>
    <n v="44562"/>
    <x v="0"/>
    <x v="4"/>
    <x v="10"/>
    <x v="1"/>
    <x v="1"/>
    <x v="21"/>
    <x v="3"/>
    <x v="2"/>
    <x v="4"/>
    <x v="0"/>
    <n v="269.2"/>
    <n v="6"/>
    <n v="0"/>
    <n v="1615.1999999999998"/>
    <n v="0"/>
    <n v="1615.1999999999998"/>
    <x v="916"/>
    <n v="839.89999999999986"/>
  </r>
  <r>
    <s v="ORD-10208"/>
    <n v="44701"/>
    <x v="0"/>
    <x v="4"/>
    <x v="10"/>
    <x v="0"/>
    <x v="2"/>
    <x v="15"/>
    <x v="4"/>
    <x v="2"/>
    <x v="1"/>
    <x v="3"/>
    <n v="150.29"/>
    <n v="3"/>
    <n v="0.05"/>
    <n v="450.87"/>
    <n v="22.543500000000002"/>
    <n v="428.32650000000001"/>
    <x v="917"/>
    <n v="248.4265"/>
  </r>
  <r>
    <s v="ORD-10906"/>
    <n v="45037"/>
    <x v="0"/>
    <x v="3"/>
    <x v="8"/>
    <x v="1"/>
    <x v="1"/>
    <x v="21"/>
    <x v="9"/>
    <x v="1"/>
    <x v="1"/>
    <x v="1"/>
    <n v="361.31"/>
    <n v="3"/>
    <n v="0.05"/>
    <n v="1083.93"/>
    <n v="54.196500000000007"/>
    <n v="1029.7335"/>
    <x v="918"/>
    <n v="535.46350000000007"/>
  </r>
  <r>
    <s v="ORD-10532"/>
    <n v="44938"/>
    <x v="0"/>
    <x v="3"/>
    <x v="7"/>
    <x v="0"/>
    <x v="3"/>
    <x v="6"/>
    <x v="11"/>
    <x v="4"/>
    <x v="4"/>
    <x v="1"/>
    <n v="354.61"/>
    <n v="12"/>
    <n v="0"/>
    <n v="4255.32"/>
    <n v="0"/>
    <n v="4255.32"/>
    <x v="919"/>
    <n v="2638.2999999999997"/>
  </r>
  <r>
    <s v="ORD-10056"/>
    <n v="44633"/>
    <x v="0"/>
    <x v="0"/>
    <x v="12"/>
    <x v="0"/>
    <x v="3"/>
    <x v="7"/>
    <x v="7"/>
    <x v="1"/>
    <x v="0"/>
    <x v="3"/>
    <n v="14.22"/>
    <n v="19"/>
    <n v="0.15"/>
    <n v="270.18"/>
    <n v="40.527000000000001"/>
    <n v="229.65300000000002"/>
    <x v="920"/>
    <n v="142.38300000000004"/>
  </r>
  <r>
    <s v="ORD-10895"/>
    <n v="45068"/>
    <x v="0"/>
    <x v="1"/>
    <x v="5"/>
    <x v="0"/>
    <x v="0"/>
    <x v="16"/>
    <x v="5"/>
    <x v="2"/>
    <x v="0"/>
    <x v="1"/>
    <n v="14.91"/>
    <n v="29"/>
    <n v="0"/>
    <n v="432.39"/>
    <n v="0"/>
    <n v="432.39"/>
    <x v="921"/>
    <n v="194.57999999999998"/>
  </r>
  <r>
    <s v="ORD-10197"/>
    <n v="44964"/>
    <x v="0"/>
    <x v="0"/>
    <x v="12"/>
    <x v="2"/>
    <x v="2"/>
    <x v="17"/>
    <x v="6"/>
    <x v="1"/>
    <x v="1"/>
    <x v="1"/>
    <n v="100.34"/>
    <n v="3"/>
    <n v="0.05"/>
    <n v="301.02"/>
    <n v="15.051"/>
    <n v="285.96899999999999"/>
    <x v="922"/>
    <n v="165.85899999999998"/>
  </r>
  <r>
    <s v="ORD-10966"/>
    <n v="45192"/>
    <x v="0"/>
    <x v="2"/>
    <x v="6"/>
    <x v="0"/>
    <x v="3"/>
    <x v="14"/>
    <x v="3"/>
    <x v="2"/>
    <x v="4"/>
    <x v="1"/>
    <n v="7.25"/>
    <n v="14"/>
    <n v="0"/>
    <n v="101.5"/>
    <n v="0"/>
    <n v="101.5"/>
    <x v="923"/>
    <n v="62.93"/>
  </r>
  <r>
    <s v="ORD-11023"/>
    <n v="45013"/>
    <x v="0"/>
    <x v="4"/>
    <x v="13"/>
    <x v="2"/>
    <x v="1"/>
    <x v="1"/>
    <x v="2"/>
    <x v="1"/>
    <x v="2"/>
    <x v="1"/>
    <n v="462.57"/>
    <n v="7"/>
    <n v="0"/>
    <n v="3237.99"/>
    <n v="0"/>
    <n v="3237.99"/>
    <x v="924"/>
    <n v="1683.7499999999998"/>
  </r>
  <r>
    <s v="ORD-10961"/>
    <n v="45176"/>
    <x v="0"/>
    <x v="3"/>
    <x v="7"/>
    <x v="1"/>
    <x v="1"/>
    <x v="1"/>
    <x v="0"/>
    <x v="1"/>
    <x v="4"/>
    <x v="3"/>
    <n v="390.26"/>
    <n v="7"/>
    <n v="0.2"/>
    <n v="2731.8199999999997"/>
    <n v="546.36399999999992"/>
    <n v="2185.4559999999997"/>
    <x v="925"/>
    <n v="1136.4359999999997"/>
  </r>
  <r>
    <s v="ORD-10018"/>
    <n v="45198"/>
    <x v="0"/>
    <x v="2"/>
    <x v="6"/>
    <x v="0"/>
    <x v="4"/>
    <x v="22"/>
    <x v="6"/>
    <x v="3"/>
    <x v="0"/>
    <x v="1"/>
    <n v="420.82"/>
    <n v="4"/>
    <n v="0"/>
    <n v="1683.28"/>
    <n v="0"/>
    <n v="1683.28"/>
    <x v="926"/>
    <n v="639.64999999999986"/>
  </r>
  <r>
    <s v="ORD-10866"/>
    <n v="44624"/>
    <x v="0"/>
    <x v="2"/>
    <x v="6"/>
    <x v="2"/>
    <x v="3"/>
    <x v="14"/>
    <x v="5"/>
    <x v="1"/>
    <x v="3"/>
    <x v="1"/>
    <n v="7.85"/>
    <n v="10"/>
    <n v="0"/>
    <n v="78.5"/>
    <n v="0"/>
    <n v="78.5"/>
    <x v="927"/>
    <n v="48.67"/>
  </r>
  <r>
    <s v="ORD-10799"/>
    <n v="44634"/>
    <x v="0"/>
    <x v="3"/>
    <x v="7"/>
    <x v="2"/>
    <x v="0"/>
    <x v="20"/>
    <x v="8"/>
    <x v="3"/>
    <x v="3"/>
    <x v="3"/>
    <n v="22.56"/>
    <n v="27"/>
    <n v="0.15"/>
    <n v="609.12"/>
    <n v="91.367999999999995"/>
    <n v="517.75199999999995"/>
    <x v="928"/>
    <n v="232.99199999999996"/>
  </r>
  <r>
    <s v="ORD-10436"/>
    <n v="44699"/>
    <x v="0"/>
    <x v="1"/>
    <x v="2"/>
    <x v="0"/>
    <x v="4"/>
    <x v="11"/>
    <x v="10"/>
    <x v="1"/>
    <x v="1"/>
    <x v="2"/>
    <n v="774.43"/>
    <n v="2"/>
    <n v="0.2"/>
    <n v="1548.86"/>
    <n v="309.77199999999999"/>
    <n v="1239.088"/>
    <x v="929"/>
    <n v="470.84799999999996"/>
  </r>
  <r>
    <s v="ORD-10131"/>
    <n v="44759"/>
    <x v="0"/>
    <x v="1"/>
    <x v="1"/>
    <x v="0"/>
    <x v="1"/>
    <x v="21"/>
    <x v="4"/>
    <x v="2"/>
    <x v="1"/>
    <x v="1"/>
    <n v="338.23"/>
    <n v="4"/>
    <n v="0"/>
    <n v="1352.92"/>
    <n v="0"/>
    <n v="1352.92"/>
    <x v="930"/>
    <n v="703.5200000000001"/>
  </r>
  <r>
    <s v="ORD-10764"/>
    <n v="45064"/>
    <x v="0"/>
    <x v="4"/>
    <x v="14"/>
    <x v="3"/>
    <x v="0"/>
    <x v="20"/>
    <x v="11"/>
    <x v="2"/>
    <x v="2"/>
    <x v="0"/>
    <n v="24.91"/>
    <n v="6"/>
    <n v="0.2"/>
    <n v="149.46"/>
    <n v="29.892000000000003"/>
    <n v="119.56800000000001"/>
    <x v="931"/>
    <n v="53.808000000000007"/>
  </r>
  <r>
    <s v="ORD-10119"/>
    <n v="44974"/>
    <x v="0"/>
    <x v="0"/>
    <x v="9"/>
    <x v="0"/>
    <x v="2"/>
    <x v="10"/>
    <x v="1"/>
    <x v="3"/>
    <x v="1"/>
    <x v="1"/>
    <n v="48.37"/>
    <n v="8"/>
    <n v="0.2"/>
    <n v="386.96"/>
    <n v="77.391999999999996"/>
    <n v="309.56799999999998"/>
    <x v="932"/>
    <n v="179.54799999999997"/>
  </r>
  <r>
    <s v="ORD-10098"/>
    <n v="44702"/>
    <x v="0"/>
    <x v="1"/>
    <x v="1"/>
    <x v="2"/>
    <x v="2"/>
    <x v="5"/>
    <x v="8"/>
    <x v="0"/>
    <x v="4"/>
    <x v="0"/>
    <n v="84.86"/>
    <n v="1"/>
    <n v="0"/>
    <n v="84.86"/>
    <n v="0"/>
    <n v="84.86"/>
    <x v="933"/>
    <n v="49.22"/>
  </r>
  <r>
    <s v="ORD-10710"/>
    <n v="44984"/>
    <x v="0"/>
    <x v="2"/>
    <x v="4"/>
    <x v="2"/>
    <x v="4"/>
    <x v="11"/>
    <x v="8"/>
    <x v="4"/>
    <x v="2"/>
    <x v="1"/>
    <n v="765.58"/>
    <n v="3"/>
    <n v="0"/>
    <n v="2296.7400000000002"/>
    <n v="0"/>
    <n v="2296.7400000000002"/>
    <x v="934"/>
    <n v="872.76000000000022"/>
  </r>
  <r>
    <s v="ORD-10531"/>
    <n v="44722"/>
    <x v="0"/>
    <x v="0"/>
    <x v="12"/>
    <x v="0"/>
    <x v="0"/>
    <x v="20"/>
    <x v="5"/>
    <x v="1"/>
    <x v="0"/>
    <x v="2"/>
    <n v="20.73"/>
    <n v="2"/>
    <n v="0.05"/>
    <n v="41.46"/>
    <n v="2.073"/>
    <n v="39.387"/>
    <x v="935"/>
    <n v="17.727"/>
  </r>
  <r>
    <s v="ORD-10047"/>
    <n v="45195"/>
    <x v="0"/>
    <x v="4"/>
    <x v="10"/>
    <x v="0"/>
    <x v="2"/>
    <x v="15"/>
    <x v="10"/>
    <x v="2"/>
    <x v="3"/>
    <x v="2"/>
    <n v="172.39"/>
    <n v="1"/>
    <n v="0.1"/>
    <n v="172.39"/>
    <n v="17.239000000000001"/>
    <n v="155.15099999999998"/>
    <x v="936"/>
    <n v="89.990999999999985"/>
  </r>
  <r>
    <s v="ORD-10761"/>
    <n v="45273"/>
    <x v="0"/>
    <x v="0"/>
    <x v="0"/>
    <x v="0"/>
    <x v="4"/>
    <x v="22"/>
    <x v="9"/>
    <x v="2"/>
    <x v="1"/>
    <x v="1"/>
    <n v="417.25"/>
    <n v="6"/>
    <n v="0.15"/>
    <n v="2503.5"/>
    <n v="375.52499999999998"/>
    <n v="2127.9749999999999"/>
    <x v="937"/>
    <n v="808.625"/>
  </r>
  <r>
    <s v="ORD-10809"/>
    <n v="45050"/>
    <x v="0"/>
    <x v="3"/>
    <x v="8"/>
    <x v="2"/>
    <x v="0"/>
    <x v="20"/>
    <x v="2"/>
    <x v="1"/>
    <x v="1"/>
    <x v="2"/>
    <n v="22.59"/>
    <n v="16"/>
    <n v="0"/>
    <n v="361.44"/>
    <n v="0"/>
    <n v="361.44"/>
    <x v="938"/>
    <n v="162.65"/>
  </r>
  <r>
    <s v="ORD-10989"/>
    <n v="44802"/>
    <x v="0"/>
    <x v="0"/>
    <x v="0"/>
    <x v="3"/>
    <x v="3"/>
    <x v="19"/>
    <x v="6"/>
    <x v="0"/>
    <x v="1"/>
    <x v="3"/>
    <n v="21.62"/>
    <n v="2"/>
    <n v="0.1"/>
    <n v="43.24"/>
    <n v="4.3240000000000007"/>
    <n v="38.916000000000004"/>
    <x v="939"/>
    <n v="24.126000000000005"/>
  </r>
  <r>
    <s v="ORD-10445"/>
    <n v="44869"/>
    <x v="0"/>
    <x v="3"/>
    <x v="11"/>
    <x v="1"/>
    <x v="0"/>
    <x v="3"/>
    <x v="6"/>
    <x v="0"/>
    <x v="4"/>
    <x v="1"/>
    <n v="20.14"/>
    <n v="18"/>
    <n v="0"/>
    <n v="362.52"/>
    <n v="0"/>
    <n v="362.52"/>
    <x v="940"/>
    <n v="163.13"/>
  </r>
  <r>
    <s v="ORD-10438"/>
    <n v="45015"/>
    <x v="0"/>
    <x v="3"/>
    <x v="8"/>
    <x v="1"/>
    <x v="4"/>
    <x v="9"/>
    <x v="3"/>
    <x v="2"/>
    <x v="1"/>
    <x v="2"/>
    <n v="542.28"/>
    <n v="7"/>
    <n v="0.05"/>
    <n v="3795.96"/>
    <n v="189.798"/>
    <n v="3606.1620000000003"/>
    <x v="941"/>
    <n v="1370.3420000000001"/>
  </r>
  <r>
    <s v="ORD-10404"/>
    <n v="45078"/>
    <x v="0"/>
    <x v="1"/>
    <x v="1"/>
    <x v="3"/>
    <x v="0"/>
    <x v="16"/>
    <x v="10"/>
    <x v="1"/>
    <x v="4"/>
    <x v="2"/>
    <n v="10.6"/>
    <n v="25"/>
    <n v="0"/>
    <n v="265"/>
    <n v="0"/>
    <n v="265"/>
    <x v="942"/>
    <n v="119.25"/>
  </r>
  <r>
    <s v="ORD-10958"/>
    <n v="44660"/>
    <x v="0"/>
    <x v="3"/>
    <x v="8"/>
    <x v="0"/>
    <x v="4"/>
    <x v="22"/>
    <x v="11"/>
    <x v="1"/>
    <x v="2"/>
    <x v="1"/>
    <n v="337.29"/>
    <n v="4"/>
    <n v="0"/>
    <n v="1349.16"/>
    <n v="0"/>
    <n v="1349.16"/>
    <x v="943"/>
    <n v="512.68000000000006"/>
  </r>
  <r>
    <s v="ORD-10504"/>
    <n v="44867"/>
    <x v="0"/>
    <x v="3"/>
    <x v="8"/>
    <x v="2"/>
    <x v="3"/>
    <x v="19"/>
    <x v="9"/>
    <x v="2"/>
    <x v="0"/>
    <x v="2"/>
    <n v="21.77"/>
    <n v="8"/>
    <n v="0.2"/>
    <n v="174.16"/>
    <n v="34.832000000000001"/>
    <n v="139.328"/>
    <x v="944"/>
    <n v="86.378"/>
  </r>
  <r>
    <s v="ORD-10243"/>
    <n v="44622"/>
    <x v="0"/>
    <x v="4"/>
    <x v="13"/>
    <x v="1"/>
    <x v="2"/>
    <x v="4"/>
    <x v="10"/>
    <x v="3"/>
    <x v="4"/>
    <x v="1"/>
    <n v="52.27"/>
    <n v="1"/>
    <n v="0.2"/>
    <n v="52.27"/>
    <n v="10.454000000000001"/>
    <n v="41.816000000000003"/>
    <x v="945"/>
    <n v="24.256000000000004"/>
  </r>
  <r>
    <s v="ORD-10345"/>
    <n v="45027"/>
    <x v="0"/>
    <x v="1"/>
    <x v="1"/>
    <x v="1"/>
    <x v="3"/>
    <x v="19"/>
    <x v="8"/>
    <x v="1"/>
    <x v="2"/>
    <x v="1"/>
    <n v="27.59"/>
    <n v="3"/>
    <n v="0.1"/>
    <n v="82.77"/>
    <n v="8.2769999999999992"/>
    <n v="74.492999999999995"/>
    <x v="946"/>
    <n v="46.182999999999993"/>
  </r>
  <r>
    <s v="ORD-10811"/>
    <n v="45056"/>
    <x v="0"/>
    <x v="2"/>
    <x v="3"/>
    <x v="0"/>
    <x v="3"/>
    <x v="23"/>
    <x v="3"/>
    <x v="4"/>
    <x v="0"/>
    <x v="1"/>
    <n v="19.809999999999999"/>
    <n v="4"/>
    <n v="0.2"/>
    <n v="79.239999999999995"/>
    <n v="15.847999999999999"/>
    <n v="63.391999999999996"/>
    <x v="947"/>
    <n v="39.301999999999992"/>
  </r>
  <r>
    <s v="ORD-10796"/>
    <n v="44585"/>
    <x v="0"/>
    <x v="0"/>
    <x v="0"/>
    <x v="2"/>
    <x v="1"/>
    <x v="1"/>
    <x v="1"/>
    <x v="0"/>
    <x v="2"/>
    <x v="1"/>
    <n v="435.93"/>
    <n v="7"/>
    <n v="0.1"/>
    <n v="3051.51"/>
    <n v="305.15100000000001"/>
    <n v="2746.3590000000004"/>
    <x v="948"/>
    <n v="1428.1090000000004"/>
  </r>
  <r>
    <s v="ORD-10043"/>
    <n v="44875"/>
    <x v="0"/>
    <x v="2"/>
    <x v="3"/>
    <x v="0"/>
    <x v="2"/>
    <x v="4"/>
    <x v="3"/>
    <x v="2"/>
    <x v="4"/>
    <x v="3"/>
    <n v="44.58"/>
    <n v="8"/>
    <n v="0"/>
    <n v="356.64"/>
    <n v="0"/>
    <n v="356.64"/>
    <x v="949"/>
    <n v="206.85"/>
  </r>
  <r>
    <s v="ORD-10751"/>
    <n v="44716"/>
    <x v="0"/>
    <x v="1"/>
    <x v="1"/>
    <x v="3"/>
    <x v="0"/>
    <x v="8"/>
    <x v="9"/>
    <x v="1"/>
    <x v="0"/>
    <x v="3"/>
    <n v="11.52"/>
    <n v="26"/>
    <n v="0.05"/>
    <n v="299.52"/>
    <n v="14.975999999999999"/>
    <n v="284.54399999999998"/>
    <x v="950"/>
    <n v="128.04399999999998"/>
  </r>
  <r>
    <s v="ORD-10087"/>
    <n v="45205"/>
    <x v="0"/>
    <x v="3"/>
    <x v="7"/>
    <x v="0"/>
    <x v="0"/>
    <x v="8"/>
    <x v="10"/>
    <x v="3"/>
    <x v="3"/>
    <x v="1"/>
    <n v="9.1"/>
    <n v="3"/>
    <n v="0.05"/>
    <n v="27.299999999999997"/>
    <n v="1.365"/>
    <n v="25.934999999999999"/>
    <x v="951"/>
    <n v="11.664999999999999"/>
  </r>
  <r>
    <s v="ORD-11046"/>
    <n v="45251"/>
    <x v="0"/>
    <x v="0"/>
    <x v="9"/>
    <x v="3"/>
    <x v="3"/>
    <x v="14"/>
    <x v="7"/>
    <x v="4"/>
    <x v="1"/>
    <x v="1"/>
    <n v="9.9"/>
    <n v="27"/>
    <n v="0"/>
    <n v="267.3"/>
    <n v="0"/>
    <n v="267.3"/>
    <x v="952"/>
    <n v="165.73000000000002"/>
  </r>
  <r>
    <s v="ORD-10266"/>
    <n v="45225"/>
    <x v="0"/>
    <x v="0"/>
    <x v="9"/>
    <x v="1"/>
    <x v="0"/>
    <x v="8"/>
    <x v="5"/>
    <x v="1"/>
    <x v="2"/>
    <x v="1"/>
    <n v="10.65"/>
    <n v="3"/>
    <n v="0"/>
    <n v="31.950000000000003"/>
    <n v="0"/>
    <n v="31.950000000000003"/>
    <x v="953"/>
    <n v="14.380000000000003"/>
  </r>
  <r>
    <s v="ORD-10602"/>
    <n v="44993"/>
    <x v="0"/>
    <x v="3"/>
    <x v="11"/>
    <x v="1"/>
    <x v="2"/>
    <x v="5"/>
    <x v="2"/>
    <x v="0"/>
    <x v="3"/>
    <x v="3"/>
    <s v="N/A"/>
    <n v="2"/>
    <n v="0.2"/>
    <n v="0"/>
    <n v="0"/>
    <n v="0"/>
    <x v="9"/>
    <e v="#VALUE!"/>
  </r>
  <r>
    <s v="ORD-10074"/>
    <n v="45031"/>
    <x v="0"/>
    <x v="1"/>
    <x v="2"/>
    <x v="1"/>
    <x v="2"/>
    <x v="15"/>
    <x v="9"/>
    <x v="1"/>
    <x v="4"/>
    <x v="3"/>
    <n v="140.69999999999999"/>
    <n v="2"/>
    <n v="0"/>
    <n v="281.39999999999998"/>
    <n v="0"/>
    <n v="281.39999999999998"/>
    <x v="954"/>
    <n v="163.20999999999998"/>
  </r>
  <r>
    <s v="ORD-10522"/>
    <n v="45256"/>
    <x v="0"/>
    <x v="4"/>
    <x v="13"/>
    <x v="3"/>
    <x v="1"/>
    <x v="18"/>
    <x v="3"/>
    <x v="1"/>
    <x v="4"/>
    <x v="1"/>
    <n v="558.27"/>
    <n v="4"/>
    <n v="0.2"/>
    <n v="2233.08"/>
    <n v="446.61599999999999"/>
    <n v="1786.4639999999999"/>
    <x v="955"/>
    <n v="928.96399999999994"/>
  </r>
  <r>
    <s v="ORD-10188"/>
    <n v="44642"/>
    <x v="0"/>
    <x v="2"/>
    <x v="6"/>
    <x v="2"/>
    <x v="1"/>
    <x v="18"/>
    <x v="2"/>
    <x v="0"/>
    <x v="3"/>
    <x v="3"/>
    <n v="438.33"/>
    <n v="7"/>
    <n v="0.15"/>
    <n v="3068.31"/>
    <n v="460.24649999999997"/>
    <n v="2608.0635000000002"/>
    <x v="956"/>
    <n v="1356.1935000000003"/>
  </r>
  <r>
    <s v="ORD-10157"/>
    <n v="44960"/>
    <x v="0"/>
    <x v="0"/>
    <x v="12"/>
    <x v="0"/>
    <x v="4"/>
    <x v="11"/>
    <x v="11"/>
    <x v="2"/>
    <x v="4"/>
    <x v="1"/>
    <n v="757.26"/>
    <n v="2"/>
    <n v="0"/>
    <n v="1514.52"/>
    <n v="0"/>
    <n v="1514.52"/>
    <x v="957"/>
    <n v="575.52"/>
  </r>
  <r>
    <s v="ORD-10856"/>
    <n v="44910"/>
    <x v="0"/>
    <x v="2"/>
    <x v="3"/>
    <x v="2"/>
    <x v="2"/>
    <x v="5"/>
    <x v="9"/>
    <x v="1"/>
    <x v="0"/>
    <x v="0"/>
    <n v="68.569999999999993"/>
    <n v="4"/>
    <n v="0.05"/>
    <n v="274.27999999999997"/>
    <n v="13.713999999999999"/>
    <n v="260.56599999999997"/>
    <x v="958"/>
    <n v="151.12599999999998"/>
  </r>
  <r>
    <s v="ORD-10691"/>
    <n v="45141"/>
    <x v="0"/>
    <x v="0"/>
    <x v="9"/>
    <x v="1"/>
    <x v="2"/>
    <x v="5"/>
    <x v="9"/>
    <x v="1"/>
    <x v="4"/>
    <x v="0"/>
    <n v="83"/>
    <n v="2"/>
    <n v="0"/>
    <n v="166"/>
    <n v="0"/>
    <n v="166"/>
    <x v="959"/>
    <n v="96.28"/>
  </r>
  <r>
    <s v="ORD-10686"/>
    <n v="45062"/>
    <x v="0"/>
    <x v="0"/>
    <x v="9"/>
    <x v="3"/>
    <x v="2"/>
    <x v="17"/>
    <x v="4"/>
    <x v="1"/>
    <x v="2"/>
    <x v="1"/>
    <n v="108.91"/>
    <n v="5"/>
    <n v="0.2"/>
    <n v="544.54999999999995"/>
    <n v="108.91"/>
    <n v="435.64"/>
    <x v="960"/>
    <n v="252.67"/>
  </r>
  <r>
    <s v="ORD-10563"/>
    <n v="45107"/>
    <x v="0"/>
    <x v="3"/>
    <x v="11"/>
    <x v="0"/>
    <x v="3"/>
    <x v="6"/>
    <x v="8"/>
    <x v="1"/>
    <x v="2"/>
    <x v="3"/>
    <n v="376.22"/>
    <n v="9"/>
    <n v="0.15"/>
    <n v="3385.9800000000005"/>
    <n v="507.89700000000005"/>
    <n v="2878.0830000000005"/>
    <x v="961"/>
    <n v="1784.4130000000005"/>
  </r>
  <r>
    <s v="ORD-10924"/>
    <n v="45036"/>
    <x v="0"/>
    <x v="1"/>
    <x v="5"/>
    <x v="0"/>
    <x v="1"/>
    <x v="18"/>
    <x v="7"/>
    <x v="4"/>
    <x v="3"/>
    <x v="1"/>
    <n v="384.72"/>
    <n v="3"/>
    <n v="0.2"/>
    <n v="1154.1600000000001"/>
    <n v="230.83200000000002"/>
    <n v="923.32800000000009"/>
    <x v="962"/>
    <n v="480.1280000000001"/>
  </r>
  <r>
    <s v="ORD-10491"/>
    <n v="44691"/>
    <x v="0"/>
    <x v="2"/>
    <x v="4"/>
    <x v="0"/>
    <x v="3"/>
    <x v="19"/>
    <x v="0"/>
    <x v="3"/>
    <x v="3"/>
    <x v="1"/>
    <s v="N/A"/>
    <n v="6"/>
    <n v="0"/>
    <n v="0"/>
    <n v="0"/>
    <n v="0"/>
    <x v="9"/>
    <e v="#VALUE!"/>
  </r>
  <r>
    <s v="ORD-10150"/>
    <n v="45194"/>
    <x v="0"/>
    <x v="2"/>
    <x v="3"/>
    <x v="2"/>
    <x v="2"/>
    <x v="10"/>
    <x v="11"/>
    <x v="3"/>
    <x v="3"/>
    <x v="2"/>
    <n v="47.12"/>
    <m/>
    <n v="0.1"/>
    <n v="0"/>
    <n v="0"/>
    <n v="0"/>
    <x v="9"/>
    <e v="#VALUE!"/>
  </r>
  <r>
    <s v="ORD-10302"/>
    <n v="45017"/>
    <x v="0"/>
    <x v="0"/>
    <x v="0"/>
    <x v="2"/>
    <x v="0"/>
    <x v="8"/>
    <x v="10"/>
    <x v="0"/>
    <x v="1"/>
    <x v="1"/>
    <n v="9"/>
    <n v="8"/>
    <n v="0.15"/>
    <n v="72"/>
    <n v="10.799999999999999"/>
    <n v="61.2"/>
    <x v="963"/>
    <n v="27.540000000000006"/>
  </r>
  <r>
    <s v="ORD-11035"/>
    <n v="44942"/>
    <x v="0"/>
    <x v="1"/>
    <x v="5"/>
    <x v="1"/>
    <x v="0"/>
    <x v="20"/>
    <x v="8"/>
    <x v="4"/>
    <x v="0"/>
    <x v="1"/>
    <n v="24.62"/>
    <n v="26"/>
    <n v="0.1"/>
    <n v="640.12"/>
    <n v="64.012"/>
    <n v="576.10799999999995"/>
    <x v="964"/>
    <n v="259.24799999999993"/>
  </r>
  <r>
    <s v="ORD-10441"/>
    <n v="44802"/>
    <x v="0"/>
    <x v="0"/>
    <x v="0"/>
    <x v="2"/>
    <x v="4"/>
    <x v="11"/>
    <x v="7"/>
    <x v="1"/>
    <x v="0"/>
    <x v="1"/>
    <n v="905.56"/>
    <n v="1"/>
    <n v="0.05"/>
    <n v="905.56"/>
    <n v="45.277999999999999"/>
    <n v="860.28199999999993"/>
    <x v="965"/>
    <n v="326.91199999999992"/>
  </r>
  <r>
    <s v="ORD-10322"/>
    <n v="45243"/>
    <x v="0"/>
    <x v="3"/>
    <x v="8"/>
    <x v="3"/>
    <x v="1"/>
    <x v="1"/>
    <x v="3"/>
    <x v="0"/>
    <x v="3"/>
    <x v="1"/>
    <n v="404.15"/>
    <n v="8"/>
    <n v="0"/>
    <n v="3233.2"/>
    <n v="0"/>
    <n v="3233.2"/>
    <x v="966"/>
    <n v="1681.2599999999998"/>
  </r>
  <r>
    <s v="ORD-10349"/>
    <n v="44618"/>
    <x v="0"/>
    <x v="0"/>
    <x v="9"/>
    <x v="0"/>
    <x v="1"/>
    <x v="2"/>
    <x v="4"/>
    <x v="3"/>
    <x v="3"/>
    <x v="1"/>
    <n v="267.99"/>
    <n v="1"/>
    <n v="0"/>
    <n v="267.99"/>
    <n v="0"/>
    <n v="267.99"/>
    <x v="967"/>
    <n v="139.35000000000002"/>
  </r>
  <r>
    <s v="ORD-10398"/>
    <n v="44714"/>
    <x v="0"/>
    <x v="3"/>
    <x v="7"/>
    <x v="0"/>
    <x v="1"/>
    <x v="1"/>
    <x v="4"/>
    <x v="1"/>
    <x v="2"/>
    <x v="3"/>
    <n v="366.33"/>
    <n v="7"/>
    <n v="0"/>
    <n v="2564.31"/>
    <n v="0"/>
    <n v="2564.31"/>
    <x v="968"/>
    <n v="1333.44"/>
  </r>
  <r>
    <s v="ORD-10834"/>
    <n v="44987"/>
    <x v="0"/>
    <x v="2"/>
    <x v="3"/>
    <x v="1"/>
    <x v="1"/>
    <x v="18"/>
    <x v="4"/>
    <x v="1"/>
    <x v="0"/>
    <x v="2"/>
    <n v="544.41999999999996"/>
    <n v="5"/>
    <n v="0"/>
    <n v="2722.1"/>
    <n v="0"/>
    <n v="2722.1"/>
    <x v="969"/>
    <n v="1415.49"/>
  </r>
  <r>
    <s v="ORD-10285"/>
    <n v="44969"/>
    <x v="0"/>
    <x v="4"/>
    <x v="10"/>
    <x v="1"/>
    <x v="4"/>
    <x v="9"/>
    <x v="10"/>
    <x v="4"/>
    <x v="2"/>
    <x v="1"/>
    <n v="698.66"/>
    <n v="1"/>
    <n v="0"/>
    <n v="698.66"/>
    <n v="0"/>
    <n v="698.66"/>
    <x v="970"/>
    <n v="265.48999999999995"/>
  </r>
  <r>
    <s v="ORD-10054"/>
    <n v="44856"/>
    <x v="0"/>
    <x v="3"/>
    <x v="11"/>
    <x v="3"/>
    <x v="2"/>
    <x v="10"/>
    <x v="11"/>
    <x v="3"/>
    <x v="1"/>
    <x v="3"/>
    <n v="53.59"/>
    <n v="1"/>
    <n v="0.1"/>
    <n v="53.59"/>
    <n v="5.3590000000000009"/>
    <n v="48.231000000000002"/>
    <x v="143"/>
    <n v="27.971"/>
  </r>
  <r>
    <s v="ORD-10702"/>
    <n v="45103"/>
    <x v="0"/>
    <x v="4"/>
    <x v="13"/>
    <x v="3"/>
    <x v="0"/>
    <x v="20"/>
    <x v="4"/>
    <x v="1"/>
    <x v="1"/>
    <x v="1"/>
    <n v="26.56"/>
    <n v="12"/>
    <n v="0.2"/>
    <n v="318.71999999999997"/>
    <n v="63.744"/>
    <n v="254.97599999999997"/>
    <x v="971"/>
    <n v="114.73599999999996"/>
  </r>
  <r>
    <s v="ORD-10977"/>
    <n v="45088"/>
    <x v="0"/>
    <x v="1"/>
    <x v="5"/>
    <x v="0"/>
    <x v="0"/>
    <x v="8"/>
    <x v="3"/>
    <x v="1"/>
    <x v="1"/>
    <x v="2"/>
    <n v="11.14"/>
    <n v="15"/>
    <n v="0.15"/>
    <n v="167.10000000000002"/>
    <n v="25.065000000000001"/>
    <n v="142.03500000000003"/>
    <x v="972"/>
    <n v="63.91500000000002"/>
  </r>
  <r>
    <s v="ORD-10813"/>
    <n v="44889"/>
    <x v="0"/>
    <x v="2"/>
    <x v="3"/>
    <x v="3"/>
    <x v="4"/>
    <x v="13"/>
    <x v="1"/>
    <x v="4"/>
    <x v="3"/>
    <x v="3"/>
    <n v="391.8"/>
    <n v="4"/>
    <n v="0.2"/>
    <n v="1567.2"/>
    <n v="313.44000000000005"/>
    <n v="1253.76"/>
    <x v="973"/>
    <n v="476.42999999999995"/>
  </r>
  <r>
    <s v="ORD-10462"/>
    <n v="44924"/>
    <x v="0"/>
    <x v="2"/>
    <x v="4"/>
    <x v="1"/>
    <x v="0"/>
    <x v="20"/>
    <x v="11"/>
    <x v="2"/>
    <x v="3"/>
    <x v="0"/>
    <n v="21.36"/>
    <n v="13"/>
    <n v="0.15"/>
    <n v="277.68"/>
    <n v="41.652000000000001"/>
    <n v="236.02800000000002"/>
    <x v="974"/>
    <n v="106.20800000000003"/>
  </r>
  <r>
    <s v="ORD-10598"/>
    <n v="44862"/>
    <x v="0"/>
    <x v="0"/>
    <x v="9"/>
    <x v="2"/>
    <x v="4"/>
    <x v="22"/>
    <x v="9"/>
    <x v="4"/>
    <x v="0"/>
    <x v="3"/>
    <n v="428.46"/>
    <n v="8"/>
    <n v="0"/>
    <n v="3427.68"/>
    <n v="0"/>
    <n v="3427.68"/>
    <x v="975"/>
    <n v="1302.52"/>
  </r>
  <r>
    <s v="ORD-10222"/>
    <n v="45015"/>
    <x v="0"/>
    <x v="0"/>
    <x v="12"/>
    <x v="3"/>
    <x v="2"/>
    <x v="4"/>
    <x v="4"/>
    <x v="1"/>
    <x v="1"/>
    <x v="2"/>
    <n v="54.69"/>
    <n v="7"/>
    <n v="0.15"/>
    <n v="382.83"/>
    <n v="57.424499999999995"/>
    <n v="325.40549999999996"/>
    <x v="976"/>
    <n v="188.73549999999997"/>
  </r>
  <r>
    <s v="ORD-10587"/>
    <n v="45236"/>
    <x v="0"/>
    <x v="2"/>
    <x v="3"/>
    <x v="3"/>
    <x v="1"/>
    <x v="18"/>
    <x v="10"/>
    <x v="2"/>
    <x v="3"/>
    <x v="1"/>
    <n v="506.33"/>
    <n v="1"/>
    <n v="0"/>
    <n v="506.33"/>
    <n v="0"/>
    <n v="506.33"/>
    <x v="977"/>
    <n v="263.28999999999996"/>
  </r>
  <r>
    <s v="ORD-10252"/>
    <n v="44913"/>
    <x v="0"/>
    <x v="0"/>
    <x v="12"/>
    <x v="0"/>
    <x v="1"/>
    <x v="1"/>
    <x v="9"/>
    <x v="3"/>
    <x v="3"/>
    <x v="1"/>
    <n v="431.2"/>
    <n v="4"/>
    <n v="0"/>
    <n v="1724.8"/>
    <n v="0"/>
    <n v="1724.8"/>
    <x v="978"/>
    <n v="896.9"/>
  </r>
  <r>
    <s v="ORD-10637"/>
    <n v="45187"/>
    <x v="0"/>
    <x v="2"/>
    <x v="6"/>
    <x v="3"/>
    <x v="1"/>
    <x v="18"/>
    <x v="4"/>
    <x v="0"/>
    <x v="2"/>
    <x v="1"/>
    <n v="520.44000000000005"/>
    <n v="5"/>
    <n v="0.1"/>
    <n v="2602.2000000000003"/>
    <n v="260.22000000000003"/>
    <n v="2341.9800000000005"/>
    <x v="979"/>
    <n v="1217.8300000000004"/>
  </r>
  <r>
    <s v="ORD-10156"/>
    <n v="45128"/>
    <x v="0"/>
    <x v="3"/>
    <x v="7"/>
    <x v="0"/>
    <x v="1"/>
    <x v="18"/>
    <x v="4"/>
    <x v="0"/>
    <x v="2"/>
    <x v="0"/>
    <n v="526.15"/>
    <n v="2"/>
    <n v="0"/>
    <n v="1052.3"/>
    <n v="0"/>
    <n v="1052.3"/>
    <x v="980"/>
    <n v="547.19999999999993"/>
  </r>
  <r>
    <s v="ORD-10118"/>
    <n v="45030"/>
    <x v="0"/>
    <x v="4"/>
    <x v="13"/>
    <x v="1"/>
    <x v="0"/>
    <x v="3"/>
    <x v="11"/>
    <x v="1"/>
    <x v="0"/>
    <x v="2"/>
    <n v="17.36"/>
    <n v="1"/>
    <n v="0.2"/>
    <n v="17.36"/>
    <n v="3.472"/>
    <n v="13.888"/>
    <x v="981"/>
    <n v="6.2480000000000002"/>
  </r>
  <r>
    <s v="ORD-10274"/>
    <n v="45246"/>
    <x v="0"/>
    <x v="4"/>
    <x v="10"/>
    <x v="0"/>
    <x v="3"/>
    <x v="6"/>
    <x v="10"/>
    <x v="0"/>
    <x v="2"/>
    <x v="1"/>
    <n v="285.20999999999998"/>
    <n v="17"/>
    <n v="0.15"/>
    <n v="4848.57"/>
    <n v="727.28549999999996"/>
    <n v="4121.2844999999998"/>
    <x v="982"/>
    <n v="2555.1944999999996"/>
  </r>
  <r>
    <s v="ORD-10708"/>
    <n v="45227"/>
    <x v="0"/>
    <x v="0"/>
    <x v="12"/>
    <x v="3"/>
    <x v="2"/>
    <x v="17"/>
    <x v="6"/>
    <x v="1"/>
    <x v="2"/>
    <x v="1"/>
    <n v="117"/>
    <m/>
    <n v="0.15"/>
    <n v="0"/>
    <n v="0"/>
    <n v="0"/>
    <x v="9"/>
    <e v="#VALUE!"/>
  </r>
  <r>
    <s v="ORD-10753"/>
    <n v="44601"/>
    <x v="0"/>
    <x v="3"/>
    <x v="7"/>
    <x v="1"/>
    <x v="1"/>
    <x v="18"/>
    <x v="10"/>
    <x v="4"/>
    <x v="3"/>
    <x v="2"/>
    <n v="384.17"/>
    <n v="2"/>
    <n v="0.05"/>
    <n v="768.34"/>
    <n v="38.417000000000002"/>
    <n v="729.923"/>
    <x v="983"/>
    <n v="379.56299999999999"/>
  </r>
  <r>
    <s v="ORD-10802"/>
    <n v="45143"/>
    <x v="0"/>
    <x v="0"/>
    <x v="0"/>
    <x v="3"/>
    <x v="4"/>
    <x v="9"/>
    <x v="5"/>
    <x v="3"/>
    <x v="0"/>
    <x v="1"/>
    <n v="721.24"/>
    <n v="6"/>
    <n v="0.15"/>
    <n v="4327.4400000000005"/>
    <n v="649.1160000000001"/>
    <n v="3678.3240000000005"/>
    <x v="984"/>
    <n v="1397.7640000000006"/>
  </r>
  <r>
    <s v="ORD-10437"/>
    <n v="44768"/>
    <x v="0"/>
    <x v="0"/>
    <x v="0"/>
    <x v="2"/>
    <x v="2"/>
    <x v="15"/>
    <x v="3"/>
    <x v="2"/>
    <x v="3"/>
    <x v="1"/>
    <n v="196.97"/>
    <n v="1"/>
    <n v="0.05"/>
    <n v="196.97"/>
    <n v="9.8485000000000014"/>
    <n v="187.1215"/>
    <x v="985"/>
    <n v="108.53149999999999"/>
  </r>
  <r>
    <s v="ORD-10850"/>
    <n v="45151"/>
    <x v="0"/>
    <x v="1"/>
    <x v="2"/>
    <x v="2"/>
    <x v="1"/>
    <x v="12"/>
    <x v="1"/>
    <x v="3"/>
    <x v="4"/>
    <x v="2"/>
    <n v="138.44999999999999"/>
    <n v="8"/>
    <n v="0.2"/>
    <n v="1107.5999999999999"/>
    <n v="221.51999999999998"/>
    <n v="886.07999999999993"/>
    <x v="986"/>
    <n v="460.75999999999993"/>
  </r>
  <r>
    <s v="ORD-10245"/>
    <n v="44816"/>
    <x v="0"/>
    <x v="3"/>
    <x v="7"/>
    <x v="3"/>
    <x v="2"/>
    <x v="5"/>
    <x v="3"/>
    <x v="3"/>
    <x v="2"/>
    <x v="1"/>
    <n v="73.66"/>
    <n v="8"/>
    <n v="0.2"/>
    <n v="589.28"/>
    <n v="117.85599999999999"/>
    <n v="471.42399999999998"/>
    <x v="987"/>
    <n v="273.423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483E3C-B80E-4D46-B964-EA0349EDFC2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4:B100" firstHeaderRow="1" firstDataRow="1" firstDataCol="1"/>
  <pivotFields count="20">
    <pivotField showAll="0"/>
    <pivotField showAll="0"/>
    <pivotField showAll="0"/>
    <pivotField showAll="0"/>
    <pivotField showAll="0">
      <items count="16">
        <item x="6"/>
        <item x="7"/>
        <item x="12"/>
        <item x="8"/>
        <item x="2"/>
        <item x="10"/>
        <item x="0"/>
        <item x="13"/>
        <item x="1"/>
        <item x="9"/>
        <item x="4"/>
        <item x="14"/>
        <item x="5"/>
        <item x="3"/>
        <item x="11"/>
        <item t="default"/>
      </items>
    </pivotField>
    <pivotField showAll="0"/>
    <pivotField showAll="0">
      <items count="6">
        <item x="2"/>
        <item x="4"/>
        <item x="0"/>
        <item x="1"/>
        <item x="3"/>
        <item t="default"/>
      </items>
    </pivotField>
    <pivotField showAll="0">
      <items count="25">
        <item x="4"/>
        <item x="8"/>
        <item x="3"/>
        <item x="21"/>
        <item x="2"/>
        <item x="20"/>
        <item x="16"/>
        <item x="1"/>
        <item x="15"/>
        <item x="11"/>
        <item x="22"/>
        <item x="23"/>
        <item x="5"/>
        <item x="19"/>
        <item x="14"/>
        <item x="9"/>
        <item x="6"/>
        <item x="12"/>
        <item x="10"/>
        <item x="17"/>
        <item x="0"/>
        <item x="7"/>
        <item x="18"/>
        <item x="13"/>
        <item t="default"/>
      </items>
    </pivotField>
    <pivotField showAll="0">
      <items count="13">
        <item x="11"/>
        <item x="10"/>
        <item x="8"/>
        <item x="3"/>
        <item x="4"/>
        <item x="1"/>
        <item x="5"/>
        <item x="9"/>
        <item x="0"/>
        <item x="2"/>
        <item x="7"/>
        <item x="6"/>
        <item t="default"/>
      </items>
    </pivotField>
    <pivotField axis="axisRow" showAll="0">
      <items count="6">
        <item x="0"/>
        <item x="1"/>
        <item x="3"/>
        <item x="4"/>
        <item x="2"/>
        <item t="default"/>
      </items>
    </pivotField>
    <pivotField showAll="0">
      <items count="6">
        <item x="1"/>
        <item x="0"/>
        <item x="2"/>
        <item x="3"/>
        <item x="4"/>
        <item t="default"/>
      </items>
    </pivotField>
    <pivotField showAll="0">
      <items count="5">
        <item x="3"/>
        <item x="1"/>
        <item x="2"/>
        <item x="0"/>
        <item t="default"/>
      </items>
    </pivotField>
    <pivotField showAll="0"/>
    <pivotField showAll="0"/>
    <pivotField numFmtId="9" showAll="0"/>
    <pivotField showAll="0"/>
    <pivotField showAll="0"/>
    <pivotField dataField="1" showAll="0"/>
    <pivotField showAll="0"/>
    <pivotField showAll="0"/>
  </pivotFields>
  <rowFields count="1">
    <field x="9"/>
  </rowFields>
  <rowItems count="6">
    <i>
      <x/>
    </i>
    <i>
      <x v="1"/>
    </i>
    <i>
      <x v="2"/>
    </i>
    <i>
      <x v="3"/>
    </i>
    <i>
      <x v="4"/>
    </i>
    <i t="grand">
      <x/>
    </i>
  </rowItems>
  <colItems count="1">
    <i/>
  </colItems>
  <dataFields count="1">
    <dataField name="Sum of Net_Revenue" fld="17" baseField="0" baseItem="0"/>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C88843-CDCD-4C00-BD31-9054D670DC3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83:B189" firstHeaderRow="1" firstDataRow="1" firstDataCol="1"/>
  <pivotFields count="20">
    <pivotField showAll="0"/>
    <pivotField showAll="0"/>
    <pivotField showAll="0">
      <items count="2">
        <item x="0"/>
        <item t="default"/>
      </items>
    </pivotField>
    <pivotField axis="axisRow" showAll="0">
      <items count="6">
        <item x="2"/>
        <item x="0"/>
        <item x="1"/>
        <item x="4"/>
        <item x="3"/>
        <item t="default"/>
      </items>
    </pivotField>
    <pivotField showAll="0">
      <items count="16">
        <item x="6"/>
        <item x="7"/>
        <item x="12"/>
        <item x="8"/>
        <item x="2"/>
        <item x="10"/>
        <item x="0"/>
        <item x="13"/>
        <item x="1"/>
        <item x="9"/>
        <item x="4"/>
        <item x="14"/>
        <item x="5"/>
        <item x="3"/>
        <item x="11"/>
        <item t="default"/>
      </items>
    </pivotField>
    <pivotField showAll="0">
      <items count="5">
        <item x="2"/>
        <item x="1"/>
        <item x="0"/>
        <item x="3"/>
        <item t="default"/>
      </items>
    </pivotField>
    <pivotField showAll="0">
      <items count="6">
        <item x="2"/>
        <item x="4"/>
        <item x="0"/>
        <item x="1"/>
        <item x="3"/>
        <item t="default"/>
      </items>
    </pivotField>
    <pivotField showAll="0">
      <items count="25">
        <item x="4"/>
        <item x="8"/>
        <item x="3"/>
        <item x="21"/>
        <item x="2"/>
        <item x="20"/>
        <item x="16"/>
        <item x="1"/>
        <item x="15"/>
        <item x="11"/>
        <item x="22"/>
        <item x="23"/>
        <item x="5"/>
        <item x="19"/>
        <item x="14"/>
        <item x="9"/>
        <item x="6"/>
        <item x="12"/>
        <item x="10"/>
        <item x="17"/>
        <item x="0"/>
        <item x="7"/>
        <item x="18"/>
        <item x="13"/>
        <item t="default"/>
      </items>
    </pivotField>
    <pivotField showAll="0">
      <items count="13">
        <item x="11"/>
        <item x="10"/>
        <item x="8"/>
        <item x="3"/>
        <item x="4"/>
        <item x="1"/>
        <item x="5"/>
        <item x="9"/>
        <item x="0"/>
        <item x="2"/>
        <item x="7"/>
        <item x="6"/>
        <item t="default"/>
      </items>
    </pivotField>
    <pivotField showAll="0">
      <items count="6">
        <item x="0"/>
        <item x="1"/>
        <item x="3"/>
        <item x="4"/>
        <item x="2"/>
        <item t="default"/>
      </items>
    </pivotField>
    <pivotField showAll="0">
      <items count="6">
        <item x="1"/>
        <item x="0"/>
        <item x="2"/>
        <item x="3"/>
        <item x="4"/>
        <item t="default"/>
      </items>
    </pivotField>
    <pivotField showAll="0">
      <items count="5">
        <item x="3"/>
        <item x="1"/>
        <item x="2"/>
        <item x="0"/>
        <item t="default"/>
      </items>
    </pivotField>
    <pivotField showAll="0"/>
    <pivotField showAll="0"/>
    <pivotField numFmtId="9" showAll="0"/>
    <pivotField showAll="0"/>
    <pivotField showAll="0"/>
    <pivotField dataField="1" showAll="0"/>
    <pivotField showAll="0">
      <items count="989">
        <item x="611"/>
        <item x="667"/>
        <item x="672"/>
        <item x="799"/>
        <item x="475"/>
        <item x="854"/>
        <item x="102"/>
        <item x="265"/>
        <item x="981"/>
        <item x="468"/>
        <item x="204"/>
        <item x="683"/>
        <item x="129"/>
        <item x="654"/>
        <item x="357"/>
        <item x="465"/>
        <item x="457"/>
        <item x="365"/>
        <item x="332"/>
        <item x="909"/>
        <item x="154"/>
        <item x="233"/>
        <item x="907"/>
        <item x="661"/>
        <item x="313"/>
        <item x="10"/>
        <item x="547"/>
        <item x="951"/>
        <item x="746"/>
        <item x="155"/>
        <item x="194"/>
        <item x="939"/>
        <item x="178"/>
        <item x="158"/>
        <item x="83"/>
        <item x="131"/>
        <item x="640"/>
        <item x="793"/>
        <item x="621"/>
        <item x="148"/>
        <item x="560"/>
        <item x="945"/>
        <item x="953"/>
        <item x="642"/>
        <item x="847"/>
        <item x="700"/>
        <item x="720"/>
        <item x="781"/>
        <item x="126"/>
        <item x="285"/>
        <item x="260"/>
        <item x="143"/>
        <item x="64"/>
        <item x="559"/>
        <item x="497"/>
        <item x="134"/>
        <item x="935"/>
        <item x="626"/>
        <item x="606"/>
        <item x="511"/>
        <item x="380"/>
        <item x="947"/>
        <item x="717"/>
        <item x="40"/>
        <item x="595"/>
        <item x="656"/>
        <item x="150"/>
        <item x="104"/>
        <item x="478"/>
        <item x="538"/>
        <item x="368"/>
        <item x="29"/>
        <item x="946"/>
        <item x="391"/>
        <item x="736"/>
        <item x="927"/>
        <item x="492"/>
        <item x="543"/>
        <item x="79"/>
        <item x="903"/>
        <item x="353"/>
        <item x="481"/>
        <item x="459"/>
        <item x="298"/>
        <item x="568"/>
        <item x="963"/>
        <item x="589"/>
        <item x="484"/>
        <item x="830"/>
        <item x="389"/>
        <item x="933"/>
        <item x="71"/>
        <item x="46"/>
        <item x="551"/>
        <item x="518"/>
        <item x="782"/>
        <item x="431"/>
        <item x="748"/>
        <item x="923"/>
        <item x="816"/>
        <item x="706"/>
        <item x="310"/>
        <item x="61"/>
        <item x="45"/>
        <item x="498"/>
        <item x="323"/>
        <item x="43"/>
        <item x="807"/>
        <item x="906"/>
        <item x="500"/>
        <item x="383"/>
        <item x="853"/>
        <item x="871"/>
        <item x="127"/>
        <item x="527"/>
        <item x="318"/>
        <item x="108"/>
        <item x="160"/>
        <item x="632"/>
        <item x="453"/>
        <item x="146"/>
        <item x="196"/>
        <item x="637"/>
        <item x="434"/>
        <item x="112"/>
        <item x="786"/>
        <item x="773"/>
        <item x="327"/>
        <item x="141"/>
        <item x="44"/>
        <item x="684"/>
        <item x="536"/>
        <item x="757"/>
        <item x="912"/>
        <item x="85"/>
        <item x="308"/>
        <item x="464"/>
        <item x="503"/>
        <item x="563"/>
        <item x="366"/>
        <item x="422"/>
        <item x="122"/>
        <item x="944"/>
        <item x="724"/>
        <item x="856"/>
        <item x="239"/>
        <item x="625"/>
        <item x="229"/>
        <item x="723"/>
        <item x="633"/>
        <item x="407"/>
        <item x="30"/>
        <item x="555"/>
        <item x="512"/>
        <item x="636"/>
        <item x="790"/>
        <item x="605"/>
        <item x="185"/>
        <item x="529"/>
        <item x="458"/>
        <item x="576"/>
        <item x="163"/>
        <item x="575"/>
        <item x="870"/>
        <item x="284"/>
        <item x="592"/>
        <item x="571"/>
        <item x="192"/>
        <item x="8"/>
        <item x="842"/>
        <item x="586"/>
        <item x="686"/>
        <item x="814"/>
        <item x="493"/>
        <item x="82"/>
        <item x="209"/>
        <item x="794"/>
        <item x="34"/>
        <item x="900"/>
        <item x="22"/>
        <item x="936"/>
        <item x="931"/>
        <item x="335"/>
        <item x="620"/>
        <item x="259"/>
        <item x="852"/>
        <item x="866"/>
        <item x="812"/>
        <item x="350"/>
        <item x="312"/>
        <item x="76"/>
        <item x="232"/>
        <item x="63"/>
        <item x="740"/>
        <item x="89"/>
        <item x="74"/>
        <item x="616"/>
        <item x="863"/>
        <item x="455"/>
        <item x="959"/>
        <item x="156"/>
        <item x="77"/>
        <item x="299"/>
        <item x="843"/>
        <item x="780"/>
        <item x="21"/>
        <item x="694"/>
        <item x="214"/>
        <item x="315"/>
        <item x="283"/>
        <item x="316"/>
        <item x="402"/>
        <item x="252"/>
        <item x="278"/>
        <item x="590"/>
        <item x="548"/>
        <item x="798"/>
        <item x="11"/>
        <item x="567"/>
        <item x="405"/>
        <item x="381"/>
        <item x="228"/>
        <item x="227"/>
        <item x="570"/>
        <item x="311"/>
        <item x="253"/>
        <item x="888"/>
        <item x="634"/>
        <item x="451"/>
        <item x="321"/>
        <item x="972"/>
        <item x="985"/>
        <item x="803"/>
        <item x="27"/>
        <item x="841"/>
        <item x="166"/>
        <item x="282"/>
        <item x="569"/>
        <item x="655"/>
        <item x="552"/>
        <item x="496"/>
        <item x="709"/>
        <item x="669"/>
        <item x="491"/>
        <item x="97"/>
        <item x="306"/>
        <item x="67"/>
        <item x="230"/>
        <item x="817"/>
        <item x="388"/>
        <item x="248"/>
        <item x="646"/>
        <item x="125"/>
        <item x="778"/>
        <item x="386"/>
        <item x="472"/>
        <item x="441"/>
        <item x="617"/>
        <item x="920"/>
        <item x="392"/>
        <item x="823"/>
        <item x="215"/>
        <item x="271"/>
        <item x="226"/>
        <item x="398"/>
        <item x="355"/>
        <item x="687"/>
        <item x="149"/>
        <item x="829"/>
        <item x="128"/>
        <item x="92"/>
        <item x="56"/>
        <item x="582"/>
        <item x="116"/>
        <item x="344"/>
        <item x="373"/>
        <item x="142"/>
        <item x="751"/>
        <item x="810"/>
        <item x="699"/>
        <item x="904"/>
        <item x="342"/>
        <item x="237"/>
        <item x="348"/>
        <item x="695"/>
        <item x="374"/>
        <item x="403"/>
        <item x="889"/>
        <item x="721"/>
        <item x="443"/>
        <item x="585"/>
        <item x="167"/>
        <item x="612"/>
        <item x="293"/>
        <item x="891"/>
        <item x="796"/>
        <item x="734"/>
        <item x="540"/>
        <item x="328"/>
        <item x="338"/>
        <item x="649"/>
        <item x="113"/>
        <item x="418"/>
        <item x="394"/>
        <item x="177"/>
        <item x="952"/>
        <item x="519"/>
        <item x="217"/>
        <item x="715"/>
        <item x="622"/>
        <item x="499"/>
        <item x="462"/>
        <item x="873"/>
        <item x="222"/>
        <item x="855"/>
        <item x="53"/>
        <item x="411"/>
        <item x="114"/>
        <item x="165"/>
        <item x="216"/>
        <item x="729"/>
        <item x="421"/>
        <item x="651"/>
        <item x="838"/>
        <item x="689"/>
        <item x="505"/>
        <item x="224"/>
        <item x="652"/>
        <item x="414"/>
        <item x="887"/>
        <item x="0"/>
        <item x="908"/>
        <item x="958"/>
        <item x="206"/>
        <item x="693"/>
        <item x="776"/>
        <item x="435"/>
        <item x="2"/>
        <item x="144"/>
        <item x="203"/>
        <item x="733"/>
        <item x="629"/>
        <item x="471"/>
        <item x="898"/>
        <item x="802"/>
        <item x="303"/>
        <item x="363"/>
        <item x="770"/>
        <item x="883"/>
        <item x="784"/>
        <item x="243"/>
        <item x="954"/>
        <item x="648"/>
        <item x="107"/>
        <item x="534"/>
        <item x="922"/>
        <item x="583"/>
        <item x="103"/>
        <item x="119"/>
        <item x="525"/>
        <item x="93"/>
        <item x="291"/>
        <item x="743"/>
        <item x="516"/>
        <item x="286"/>
        <item x="712"/>
        <item x="884"/>
        <item x="57"/>
        <item x="396"/>
        <item x="862"/>
        <item x="507"/>
        <item x="5"/>
        <item x="268"/>
        <item x="763"/>
        <item x="279"/>
        <item x="452"/>
        <item x="685"/>
        <item x="680"/>
        <item x="37"/>
        <item x="688"/>
        <item x="967"/>
        <item x="822"/>
        <item x="249"/>
        <item x="115"/>
        <item x="719"/>
        <item x="974"/>
        <item x="932"/>
        <item x="635"/>
        <item x="330"/>
        <item x="261"/>
        <item x="395"/>
        <item x="110"/>
        <item x="514"/>
        <item x="95"/>
        <item x="292"/>
        <item x="506"/>
        <item x="59"/>
        <item x="728"/>
        <item x="976"/>
        <item x="608"/>
        <item x="521"/>
        <item x="868"/>
        <item x="864"/>
        <item x="474"/>
        <item x="604"/>
        <item x="136"/>
        <item x="971"/>
        <item x="409"/>
        <item x="372"/>
        <item x="754"/>
        <item x="406"/>
        <item x="25"/>
        <item x="726"/>
        <item x="660"/>
        <item x="639"/>
        <item x="120"/>
        <item x="761"/>
        <item x="494"/>
        <item x="264"/>
        <item x="588"/>
        <item x="609"/>
        <item x="304"/>
        <item x="872"/>
        <item x="942"/>
        <item x="202"/>
        <item x="678"/>
        <item x="771"/>
        <item x="573"/>
        <item x="151"/>
        <item x="132"/>
        <item x="602"/>
        <item x="287"/>
        <item x="949"/>
        <item x="910"/>
        <item x="242"/>
        <item x="385"/>
        <item x="301"/>
        <item x="121"/>
        <item x="13"/>
        <item x="482"/>
        <item x="168"/>
        <item x="821"/>
        <item x="340"/>
        <item x="787"/>
        <item x="950"/>
        <item x="711"/>
        <item x="201"/>
        <item x="857"/>
        <item x="18"/>
        <item x="117"/>
        <item x="630"/>
        <item x="510"/>
        <item x="86"/>
        <item x="848"/>
        <item x="336"/>
        <item x="161"/>
        <item x="825"/>
        <item x="106"/>
        <item x="867"/>
        <item x="836"/>
        <item x="692"/>
        <item x="732"/>
        <item x="280"/>
        <item x="645"/>
        <item x="329"/>
        <item x="531"/>
        <item x="162"/>
        <item x="105"/>
        <item x="172"/>
        <item x="212"/>
        <item x="896"/>
        <item x="356"/>
        <item x="334"/>
        <item x="130"/>
        <item x="742"/>
        <item x="738"/>
        <item x="759"/>
        <item x="375"/>
        <item x="38"/>
        <item x="747"/>
        <item x="703"/>
        <item x="449"/>
        <item x="657"/>
        <item x="52"/>
        <item x="541"/>
        <item x="725"/>
        <item x="387"/>
        <item x="20"/>
        <item x="281"/>
        <item x="917"/>
        <item x="774"/>
        <item x="677"/>
        <item x="58"/>
        <item x="565"/>
        <item x="294"/>
        <item x="960"/>
        <item x="269"/>
        <item x="718"/>
        <item x="326"/>
        <item x="561"/>
        <item x="697"/>
        <item x="515"/>
        <item x="295"/>
        <item x="550"/>
        <item x="594"/>
        <item x="16"/>
        <item x="445"/>
        <item x="911"/>
        <item x="358"/>
        <item x="878"/>
        <item x="220"/>
        <item x="437"/>
        <item x="835"/>
        <item x="874"/>
        <item x="169"/>
        <item x="818"/>
        <item x="81"/>
        <item x="987"/>
        <item x="579"/>
        <item x="938"/>
        <item x="940"/>
        <item x="256"/>
        <item x="339"/>
        <item x="804"/>
        <item x="137"/>
        <item x="850"/>
        <item x="41"/>
        <item x="369"/>
        <item x="324"/>
        <item x="581"/>
        <item x="333"/>
        <item x="145"/>
        <item x="815"/>
        <item x="23"/>
        <item x="673"/>
        <item x="775"/>
        <item x="7"/>
        <item x="813"/>
        <item x="753"/>
        <item x="811"/>
        <item x="476"/>
        <item x="591"/>
        <item x="779"/>
        <item x="914"/>
        <item x="17"/>
        <item x="238"/>
        <item x="627"/>
        <item x="98"/>
        <item x="275"/>
        <item x="777"/>
        <item x="84"/>
        <item x="696"/>
        <item x="791"/>
        <item x="207"/>
        <item x="849"/>
        <item x="676"/>
        <item x="702"/>
        <item x="262"/>
        <item x="607"/>
        <item x="176"/>
        <item x="731"/>
        <item x="899"/>
        <item x="762"/>
        <item x="833"/>
        <item x="701"/>
        <item x="325"/>
        <item x="902"/>
        <item x="488"/>
        <item x="341"/>
        <item x="880"/>
        <item x="921"/>
        <item x="390"/>
        <item x="139"/>
        <item x="487"/>
        <item x="463"/>
        <item x="977"/>
        <item x="416"/>
        <item x="297"/>
        <item x="296"/>
        <item x="157"/>
        <item x="346"/>
        <item x="309"/>
        <item x="270"/>
        <item x="513"/>
        <item x="384"/>
        <item x="347"/>
        <item x="597"/>
        <item x="600"/>
        <item x="522"/>
        <item x="100"/>
        <item x="875"/>
        <item x="820"/>
        <item x="832"/>
        <item x="3"/>
        <item x="647"/>
        <item x="32"/>
        <item x="861"/>
        <item x="744"/>
        <item x="123"/>
        <item x="885"/>
        <item x="35"/>
        <item x="737"/>
        <item x="928"/>
        <item x="423"/>
        <item x="893"/>
        <item x="420"/>
        <item x="276"/>
        <item x="480"/>
        <item x="225"/>
        <item x="495"/>
        <item x="523"/>
        <item x="91"/>
        <item x="679"/>
        <item x="429"/>
        <item x="189"/>
        <item x="745"/>
        <item x="208"/>
        <item x="613"/>
        <item x="240"/>
        <item x="713"/>
        <item x="905"/>
        <item x="964"/>
        <item x="290"/>
        <item x="183"/>
        <item x="819"/>
        <item x="378"/>
        <item x="553"/>
        <item x="4"/>
        <item x="895"/>
        <item x="331"/>
        <item x="48"/>
        <item x="599"/>
        <item x="181"/>
        <item x="641"/>
        <item x="860"/>
        <item x="983"/>
        <item x="827"/>
        <item x="300"/>
        <item x="894"/>
        <item x="865"/>
        <item x="428"/>
        <item x="190"/>
        <item x="427"/>
        <item x="890"/>
        <item x="371"/>
        <item x="415"/>
        <item x="533"/>
        <item x="824"/>
        <item x="68"/>
        <item x="490"/>
        <item x="28"/>
        <item x="749"/>
        <item x="557"/>
        <item x="772"/>
        <item x="662"/>
        <item x="479"/>
        <item x="584"/>
        <item x="704"/>
        <item x="520"/>
        <item x="618"/>
        <item x="674"/>
        <item x="362"/>
        <item x="438"/>
        <item x="184"/>
        <item x="670"/>
        <item x="727"/>
        <item x="539"/>
        <item x="664"/>
        <item x="200"/>
        <item x="272"/>
        <item x="401"/>
        <item x="601"/>
        <item x="412"/>
        <item x="615"/>
        <item x="274"/>
        <item x="349"/>
        <item x="367"/>
        <item x="986"/>
        <item x="598"/>
        <item x="489"/>
        <item x="638"/>
        <item x="111"/>
        <item x="970"/>
        <item x="837"/>
        <item x="501"/>
        <item x="376"/>
        <item x="756"/>
        <item x="962"/>
        <item x="319"/>
        <item x="96"/>
        <item x="88"/>
        <item x="50"/>
        <item x="171"/>
        <item x="198"/>
        <item x="767"/>
        <item x="210"/>
        <item x="532"/>
        <item x="159"/>
        <item x="42"/>
        <item x="36"/>
        <item x="760"/>
        <item x="47"/>
        <item x="517"/>
        <item x="305"/>
        <item x="918"/>
        <item x="302"/>
        <item x="454"/>
        <item x="752"/>
        <item x="980"/>
        <item x="764"/>
        <item x="273"/>
        <item x="195"/>
        <item x="614"/>
        <item x="60"/>
        <item x="19"/>
        <item x="698"/>
        <item x="140"/>
        <item x="965"/>
        <item x="247"/>
        <item x="808"/>
        <item x="758"/>
        <item x="876"/>
        <item x="650"/>
        <item x="153"/>
        <item x="596"/>
        <item x="152"/>
        <item x="892"/>
        <item x="69"/>
        <item x="448"/>
        <item x="858"/>
        <item x="795"/>
        <item x="94"/>
        <item x="430"/>
        <item x="320"/>
        <item x="544"/>
        <item x="663"/>
        <item x="658"/>
        <item x="450"/>
        <item x="424"/>
        <item x="659"/>
        <item x="31"/>
        <item x="882"/>
        <item x="393"/>
        <item x="930"/>
        <item x="135"/>
        <item x="535"/>
        <item x="444"/>
        <item x="869"/>
        <item x="133"/>
        <item x="460"/>
        <item x="671"/>
        <item x="554"/>
        <item x="831"/>
        <item x="722"/>
        <item x="915"/>
        <item x="470"/>
        <item x="530"/>
        <item x="653"/>
        <item x="223"/>
        <item x="834"/>
        <item x="6"/>
        <item x="486"/>
        <item x="886"/>
        <item x="593"/>
        <item x="524"/>
        <item x="929"/>
        <item x="916"/>
        <item x="191"/>
        <item x="973"/>
        <item x="164"/>
        <item x="439"/>
        <item x="425"/>
        <item x="370"/>
        <item x="572"/>
        <item x="174"/>
        <item x="70"/>
        <item x="197"/>
        <item x="623"/>
        <item x="805"/>
        <item x="978"/>
        <item x="755"/>
        <item x="943"/>
        <item x="241"/>
        <item x="769"/>
        <item x="574"/>
        <item x="147"/>
        <item x="343"/>
        <item x="955"/>
        <item x="643"/>
        <item x="193"/>
        <item x="564"/>
        <item x="504"/>
        <item x="410"/>
        <item x="211"/>
        <item x="87"/>
        <item x="826"/>
        <item x="844"/>
        <item x="526"/>
        <item x="957"/>
        <item x="716"/>
        <item x="359"/>
        <item x="199"/>
        <item x="1"/>
        <item x="317"/>
        <item x="354"/>
        <item x="675"/>
        <item x="72"/>
        <item x="277"/>
        <item x="730"/>
        <item x="307"/>
        <item x="545"/>
        <item x="258"/>
        <item x="528"/>
        <item x="926"/>
        <item x="419"/>
        <item x="925"/>
        <item x="245"/>
        <item x="382"/>
        <item x="897"/>
        <item x="90"/>
        <item x="766"/>
        <item x="788"/>
        <item x="839"/>
        <item x="477"/>
        <item x="846"/>
        <item x="961"/>
        <item x="433"/>
        <item x="666"/>
        <item x="750"/>
        <item x="267"/>
        <item x="219"/>
        <item x="785"/>
        <item x="979"/>
        <item x="289"/>
        <item x="244"/>
        <item x="62"/>
        <item x="254"/>
        <item x="681"/>
        <item x="558"/>
        <item x="741"/>
        <item x="246"/>
        <item x="345"/>
        <item x="337"/>
        <item x="73"/>
        <item x="322"/>
        <item x="691"/>
        <item x="968"/>
        <item x="877"/>
        <item x="432"/>
        <item x="956"/>
        <item x="508"/>
        <item x="549"/>
        <item x="845"/>
        <item x="969"/>
        <item x="948"/>
        <item x="937"/>
        <item x="408"/>
        <item x="628"/>
        <item x="351"/>
        <item x="263"/>
        <item x="473"/>
        <item x="509"/>
        <item x="447"/>
        <item x="66"/>
        <item x="314"/>
        <item x="809"/>
        <item x="101"/>
        <item x="417"/>
        <item x="851"/>
        <item x="404"/>
        <item x="537"/>
        <item x="78"/>
        <item x="934"/>
        <item x="566"/>
        <item x="118"/>
        <item x="255"/>
        <item x="792"/>
        <item x="735"/>
        <item x="913"/>
        <item x="859"/>
        <item x="80"/>
        <item x="124"/>
        <item x="828"/>
        <item x="797"/>
        <item x="33"/>
        <item x="708"/>
        <item x="502"/>
        <item x="562"/>
        <item x="186"/>
        <item x="966"/>
        <item x="924"/>
        <item x="12"/>
        <item x="806"/>
        <item x="982"/>
        <item x="690"/>
        <item x="765"/>
        <item x="180"/>
        <item x="919"/>
        <item x="556"/>
        <item x="665"/>
        <item x="467"/>
        <item x="624"/>
        <item x="39"/>
        <item x="266"/>
        <item x="257"/>
        <item x="288"/>
        <item x="542"/>
        <item x="710"/>
        <item x="397"/>
        <item x="51"/>
        <item x="469"/>
        <item x="644"/>
        <item x="234"/>
        <item x="109"/>
        <item x="442"/>
        <item x="361"/>
        <item x="65"/>
        <item x="800"/>
        <item x="801"/>
        <item x="546"/>
        <item x="231"/>
        <item x="413"/>
        <item x="213"/>
        <item x="352"/>
        <item x="399"/>
        <item x="75"/>
        <item x="682"/>
        <item x="668"/>
        <item x="707"/>
        <item x="173"/>
        <item x="975"/>
        <item x="360"/>
        <item x="49"/>
        <item x="461"/>
        <item x="840"/>
        <item x="941"/>
        <item x="235"/>
        <item x="578"/>
        <item x="483"/>
        <item x="984"/>
        <item x="587"/>
        <item x="379"/>
        <item x="446"/>
        <item x="377"/>
        <item x="179"/>
        <item x="205"/>
        <item x="705"/>
        <item x="789"/>
        <item x="182"/>
        <item x="440"/>
        <item x="426"/>
        <item x="55"/>
        <item x="577"/>
        <item x="221"/>
        <item x="15"/>
        <item x="879"/>
        <item x="739"/>
        <item x="188"/>
        <item x="400"/>
        <item x="250"/>
        <item x="251"/>
        <item x="881"/>
        <item x="218"/>
        <item x="364"/>
        <item x="610"/>
        <item x="170"/>
        <item x="631"/>
        <item x="485"/>
        <item x="138"/>
        <item x="54"/>
        <item x="580"/>
        <item x="26"/>
        <item x="603"/>
        <item x="24"/>
        <item x="768"/>
        <item x="466"/>
        <item x="236"/>
        <item x="14"/>
        <item x="619"/>
        <item x="714"/>
        <item x="456"/>
        <item x="436"/>
        <item x="901"/>
        <item x="187"/>
        <item x="783"/>
        <item x="175"/>
        <item x="99"/>
        <item x="9"/>
        <item t="default"/>
      </items>
    </pivotField>
    <pivotField showAll="0"/>
  </pivotFields>
  <rowFields count="1">
    <field x="3"/>
  </rowFields>
  <rowItems count="6">
    <i>
      <x/>
    </i>
    <i>
      <x v="1"/>
    </i>
    <i>
      <x v="2"/>
    </i>
    <i>
      <x v="3"/>
    </i>
    <i>
      <x v="4"/>
    </i>
    <i t="grand">
      <x/>
    </i>
  </rowItems>
  <colItems count="1">
    <i/>
  </colItems>
  <dataFields count="1">
    <dataField name="Sum of Net_Revenue" fld="17" baseField="0" baseItem="0" numFmtId="44"/>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3F9013-555B-4B27-A627-7210F2007A1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68:B174" firstHeaderRow="1" firstDataRow="1" firstDataCol="1"/>
  <pivotFields count="20">
    <pivotField showAll="0"/>
    <pivotField showAll="0"/>
    <pivotField showAll="0"/>
    <pivotField showAll="0">
      <items count="6">
        <item x="2"/>
        <item x="0"/>
        <item x="1"/>
        <item x="4"/>
        <item x="3"/>
        <item t="default"/>
      </items>
    </pivotField>
    <pivotField showAll="0">
      <items count="16">
        <item x="6"/>
        <item x="7"/>
        <item x="12"/>
        <item x="8"/>
        <item x="2"/>
        <item x="10"/>
        <item x="0"/>
        <item x="13"/>
        <item x="1"/>
        <item x="9"/>
        <item x="4"/>
        <item x="14"/>
        <item x="5"/>
        <item x="3"/>
        <item x="11"/>
        <item t="default"/>
      </items>
    </pivotField>
    <pivotField showAll="0">
      <items count="5">
        <item x="2"/>
        <item x="1"/>
        <item x="0"/>
        <item x="3"/>
        <item t="default"/>
      </items>
    </pivotField>
    <pivotField showAll="0">
      <items count="6">
        <item x="2"/>
        <item x="4"/>
        <item x="0"/>
        <item x="1"/>
        <item x="3"/>
        <item t="default"/>
      </items>
    </pivotField>
    <pivotField showAll="0">
      <items count="25">
        <item x="4"/>
        <item x="8"/>
        <item x="3"/>
        <item x="21"/>
        <item x="2"/>
        <item x="20"/>
        <item x="16"/>
        <item x="1"/>
        <item x="15"/>
        <item x="11"/>
        <item x="22"/>
        <item x="23"/>
        <item x="5"/>
        <item x="19"/>
        <item x="14"/>
        <item x="9"/>
        <item x="6"/>
        <item x="12"/>
        <item x="10"/>
        <item x="17"/>
        <item x="0"/>
        <item x="7"/>
        <item x="18"/>
        <item x="13"/>
        <item t="default"/>
      </items>
    </pivotField>
    <pivotField showAll="0">
      <items count="13">
        <item x="11"/>
        <item x="10"/>
        <item x="8"/>
        <item x="3"/>
        <item x="4"/>
        <item x="1"/>
        <item x="5"/>
        <item x="9"/>
        <item x="0"/>
        <item x="2"/>
        <item x="7"/>
        <item x="6"/>
        <item t="default"/>
      </items>
    </pivotField>
    <pivotField showAll="0">
      <items count="6">
        <item x="0"/>
        <item x="1"/>
        <item x="3"/>
        <item x="4"/>
        <item x="2"/>
        <item t="default"/>
      </items>
    </pivotField>
    <pivotField axis="axisRow" showAll="0">
      <items count="6">
        <item x="1"/>
        <item x="0"/>
        <item x="2"/>
        <item x="3"/>
        <item x="4"/>
        <item t="default"/>
      </items>
    </pivotField>
    <pivotField showAll="0">
      <items count="5">
        <item x="3"/>
        <item x="1"/>
        <item x="2"/>
        <item x="0"/>
        <item t="default"/>
      </items>
    </pivotField>
    <pivotField showAll="0"/>
    <pivotField showAll="0"/>
    <pivotField numFmtId="9" showAll="0"/>
    <pivotField showAll="0"/>
    <pivotField showAll="0"/>
    <pivotField dataField="1" showAll="0"/>
    <pivotField showAll="0">
      <items count="989">
        <item x="611"/>
        <item x="667"/>
        <item x="672"/>
        <item x="799"/>
        <item x="475"/>
        <item x="854"/>
        <item x="102"/>
        <item x="265"/>
        <item x="981"/>
        <item x="468"/>
        <item x="204"/>
        <item x="683"/>
        <item x="129"/>
        <item x="654"/>
        <item x="357"/>
        <item x="465"/>
        <item x="457"/>
        <item x="365"/>
        <item x="332"/>
        <item x="909"/>
        <item x="154"/>
        <item x="233"/>
        <item x="907"/>
        <item x="661"/>
        <item x="313"/>
        <item x="10"/>
        <item x="547"/>
        <item x="951"/>
        <item x="746"/>
        <item x="155"/>
        <item x="194"/>
        <item x="939"/>
        <item x="178"/>
        <item x="158"/>
        <item x="83"/>
        <item x="131"/>
        <item x="640"/>
        <item x="793"/>
        <item x="621"/>
        <item x="148"/>
        <item x="560"/>
        <item x="945"/>
        <item x="953"/>
        <item x="642"/>
        <item x="847"/>
        <item x="700"/>
        <item x="720"/>
        <item x="781"/>
        <item x="126"/>
        <item x="285"/>
        <item x="260"/>
        <item x="143"/>
        <item x="64"/>
        <item x="559"/>
        <item x="497"/>
        <item x="134"/>
        <item x="935"/>
        <item x="626"/>
        <item x="606"/>
        <item x="511"/>
        <item x="380"/>
        <item x="947"/>
        <item x="717"/>
        <item x="40"/>
        <item x="595"/>
        <item x="656"/>
        <item x="150"/>
        <item x="104"/>
        <item x="478"/>
        <item x="538"/>
        <item x="368"/>
        <item x="29"/>
        <item x="946"/>
        <item x="391"/>
        <item x="736"/>
        <item x="927"/>
        <item x="492"/>
        <item x="543"/>
        <item x="79"/>
        <item x="903"/>
        <item x="353"/>
        <item x="481"/>
        <item x="459"/>
        <item x="298"/>
        <item x="568"/>
        <item x="963"/>
        <item x="589"/>
        <item x="484"/>
        <item x="830"/>
        <item x="389"/>
        <item x="933"/>
        <item x="71"/>
        <item x="46"/>
        <item x="551"/>
        <item x="518"/>
        <item x="782"/>
        <item x="431"/>
        <item x="748"/>
        <item x="923"/>
        <item x="816"/>
        <item x="706"/>
        <item x="310"/>
        <item x="61"/>
        <item x="45"/>
        <item x="498"/>
        <item x="323"/>
        <item x="43"/>
        <item x="807"/>
        <item x="906"/>
        <item x="500"/>
        <item x="383"/>
        <item x="853"/>
        <item x="871"/>
        <item x="127"/>
        <item x="527"/>
        <item x="318"/>
        <item x="108"/>
        <item x="160"/>
        <item x="632"/>
        <item x="453"/>
        <item x="146"/>
        <item x="196"/>
        <item x="637"/>
        <item x="434"/>
        <item x="112"/>
        <item x="786"/>
        <item x="773"/>
        <item x="327"/>
        <item x="141"/>
        <item x="44"/>
        <item x="684"/>
        <item x="536"/>
        <item x="757"/>
        <item x="912"/>
        <item x="85"/>
        <item x="308"/>
        <item x="464"/>
        <item x="503"/>
        <item x="563"/>
        <item x="366"/>
        <item x="422"/>
        <item x="122"/>
        <item x="944"/>
        <item x="724"/>
        <item x="856"/>
        <item x="239"/>
        <item x="625"/>
        <item x="229"/>
        <item x="723"/>
        <item x="633"/>
        <item x="407"/>
        <item x="30"/>
        <item x="555"/>
        <item x="512"/>
        <item x="636"/>
        <item x="790"/>
        <item x="605"/>
        <item x="185"/>
        <item x="529"/>
        <item x="458"/>
        <item x="576"/>
        <item x="163"/>
        <item x="575"/>
        <item x="870"/>
        <item x="284"/>
        <item x="592"/>
        <item x="571"/>
        <item x="192"/>
        <item x="8"/>
        <item x="842"/>
        <item x="586"/>
        <item x="686"/>
        <item x="814"/>
        <item x="493"/>
        <item x="82"/>
        <item x="209"/>
        <item x="794"/>
        <item x="34"/>
        <item x="900"/>
        <item x="22"/>
        <item x="936"/>
        <item x="931"/>
        <item x="335"/>
        <item x="620"/>
        <item x="259"/>
        <item x="852"/>
        <item x="866"/>
        <item x="812"/>
        <item x="350"/>
        <item x="312"/>
        <item x="76"/>
        <item x="232"/>
        <item x="63"/>
        <item x="740"/>
        <item x="89"/>
        <item x="74"/>
        <item x="616"/>
        <item x="863"/>
        <item x="455"/>
        <item x="959"/>
        <item x="156"/>
        <item x="77"/>
        <item x="299"/>
        <item x="843"/>
        <item x="780"/>
        <item x="21"/>
        <item x="694"/>
        <item x="214"/>
        <item x="315"/>
        <item x="283"/>
        <item x="316"/>
        <item x="402"/>
        <item x="252"/>
        <item x="278"/>
        <item x="590"/>
        <item x="548"/>
        <item x="798"/>
        <item x="11"/>
        <item x="567"/>
        <item x="405"/>
        <item x="381"/>
        <item x="228"/>
        <item x="227"/>
        <item x="570"/>
        <item x="311"/>
        <item x="253"/>
        <item x="888"/>
        <item x="634"/>
        <item x="451"/>
        <item x="321"/>
        <item x="972"/>
        <item x="985"/>
        <item x="803"/>
        <item x="27"/>
        <item x="841"/>
        <item x="166"/>
        <item x="282"/>
        <item x="569"/>
        <item x="655"/>
        <item x="552"/>
        <item x="496"/>
        <item x="709"/>
        <item x="669"/>
        <item x="491"/>
        <item x="97"/>
        <item x="306"/>
        <item x="67"/>
        <item x="230"/>
        <item x="817"/>
        <item x="388"/>
        <item x="248"/>
        <item x="646"/>
        <item x="125"/>
        <item x="778"/>
        <item x="386"/>
        <item x="472"/>
        <item x="441"/>
        <item x="617"/>
        <item x="920"/>
        <item x="392"/>
        <item x="823"/>
        <item x="215"/>
        <item x="271"/>
        <item x="226"/>
        <item x="398"/>
        <item x="355"/>
        <item x="687"/>
        <item x="149"/>
        <item x="829"/>
        <item x="128"/>
        <item x="92"/>
        <item x="56"/>
        <item x="582"/>
        <item x="116"/>
        <item x="344"/>
        <item x="373"/>
        <item x="142"/>
        <item x="751"/>
        <item x="810"/>
        <item x="699"/>
        <item x="904"/>
        <item x="342"/>
        <item x="237"/>
        <item x="348"/>
        <item x="695"/>
        <item x="374"/>
        <item x="403"/>
        <item x="889"/>
        <item x="721"/>
        <item x="443"/>
        <item x="585"/>
        <item x="167"/>
        <item x="612"/>
        <item x="293"/>
        <item x="891"/>
        <item x="796"/>
        <item x="734"/>
        <item x="540"/>
        <item x="328"/>
        <item x="338"/>
        <item x="649"/>
        <item x="113"/>
        <item x="418"/>
        <item x="394"/>
        <item x="177"/>
        <item x="952"/>
        <item x="519"/>
        <item x="217"/>
        <item x="715"/>
        <item x="622"/>
        <item x="499"/>
        <item x="462"/>
        <item x="873"/>
        <item x="222"/>
        <item x="855"/>
        <item x="53"/>
        <item x="411"/>
        <item x="114"/>
        <item x="165"/>
        <item x="216"/>
        <item x="729"/>
        <item x="421"/>
        <item x="651"/>
        <item x="838"/>
        <item x="689"/>
        <item x="505"/>
        <item x="224"/>
        <item x="652"/>
        <item x="414"/>
        <item x="887"/>
        <item x="0"/>
        <item x="908"/>
        <item x="958"/>
        <item x="206"/>
        <item x="693"/>
        <item x="776"/>
        <item x="435"/>
        <item x="2"/>
        <item x="144"/>
        <item x="203"/>
        <item x="733"/>
        <item x="629"/>
        <item x="471"/>
        <item x="898"/>
        <item x="802"/>
        <item x="303"/>
        <item x="363"/>
        <item x="770"/>
        <item x="883"/>
        <item x="784"/>
        <item x="243"/>
        <item x="954"/>
        <item x="648"/>
        <item x="107"/>
        <item x="534"/>
        <item x="922"/>
        <item x="583"/>
        <item x="103"/>
        <item x="119"/>
        <item x="525"/>
        <item x="93"/>
        <item x="291"/>
        <item x="743"/>
        <item x="516"/>
        <item x="286"/>
        <item x="712"/>
        <item x="884"/>
        <item x="57"/>
        <item x="396"/>
        <item x="862"/>
        <item x="507"/>
        <item x="5"/>
        <item x="268"/>
        <item x="763"/>
        <item x="279"/>
        <item x="452"/>
        <item x="685"/>
        <item x="680"/>
        <item x="37"/>
        <item x="688"/>
        <item x="967"/>
        <item x="822"/>
        <item x="249"/>
        <item x="115"/>
        <item x="719"/>
        <item x="974"/>
        <item x="932"/>
        <item x="635"/>
        <item x="330"/>
        <item x="261"/>
        <item x="395"/>
        <item x="110"/>
        <item x="514"/>
        <item x="95"/>
        <item x="292"/>
        <item x="506"/>
        <item x="59"/>
        <item x="728"/>
        <item x="976"/>
        <item x="608"/>
        <item x="521"/>
        <item x="868"/>
        <item x="864"/>
        <item x="474"/>
        <item x="604"/>
        <item x="136"/>
        <item x="971"/>
        <item x="409"/>
        <item x="372"/>
        <item x="754"/>
        <item x="406"/>
        <item x="25"/>
        <item x="726"/>
        <item x="660"/>
        <item x="639"/>
        <item x="120"/>
        <item x="761"/>
        <item x="494"/>
        <item x="264"/>
        <item x="588"/>
        <item x="609"/>
        <item x="304"/>
        <item x="872"/>
        <item x="942"/>
        <item x="202"/>
        <item x="678"/>
        <item x="771"/>
        <item x="573"/>
        <item x="151"/>
        <item x="132"/>
        <item x="602"/>
        <item x="287"/>
        <item x="949"/>
        <item x="910"/>
        <item x="242"/>
        <item x="385"/>
        <item x="301"/>
        <item x="121"/>
        <item x="13"/>
        <item x="482"/>
        <item x="168"/>
        <item x="821"/>
        <item x="340"/>
        <item x="787"/>
        <item x="950"/>
        <item x="711"/>
        <item x="201"/>
        <item x="857"/>
        <item x="18"/>
        <item x="117"/>
        <item x="630"/>
        <item x="510"/>
        <item x="86"/>
        <item x="848"/>
        <item x="336"/>
        <item x="161"/>
        <item x="825"/>
        <item x="106"/>
        <item x="867"/>
        <item x="836"/>
        <item x="692"/>
        <item x="732"/>
        <item x="280"/>
        <item x="645"/>
        <item x="329"/>
        <item x="531"/>
        <item x="162"/>
        <item x="105"/>
        <item x="172"/>
        <item x="212"/>
        <item x="896"/>
        <item x="356"/>
        <item x="334"/>
        <item x="130"/>
        <item x="742"/>
        <item x="738"/>
        <item x="759"/>
        <item x="375"/>
        <item x="38"/>
        <item x="747"/>
        <item x="703"/>
        <item x="449"/>
        <item x="657"/>
        <item x="52"/>
        <item x="541"/>
        <item x="725"/>
        <item x="387"/>
        <item x="20"/>
        <item x="281"/>
        <item x="917"/>
        <item x="774"/>
        <item x="677"/>
        <item x="58"/>
        <item x="565"/>
        <item x="294"/>
        <item x="960"/>
        <item x="269"/>
        <item x="718"/>
        <item x="326"/>
        <item x="561"/>
        <item x="697"/>
        <item x="515"/>
        <item x="295"/>
        <item x="550"/>
        <item x="594"/>
        <item x="16"/>
        <item x="445"/>
        <item x="911"/>
        <item x="358"/>
        <item x="878"/>
        <item x="220"/>
        <item x="437"/>
        <item x="835"/>
        <item x="874"/>
        <item x="169"/>
        <item x="818"/>
        <item x="81"/>
        <item x="987"/>
        <item x="579"/>
        <item x="938"/>
        <item x="940"/>
        <item x="256"/>
        <item x="339"/>
        <item x="804"/>
        <item x="137"/>
        <item x="850"/>
        <item x="41"/>
        <item x="369"/>
        <item x="324"/>
        <item x="581"/>
        <item x="333"/>
        <item x="145"/>
        <item x="815"/>
        <item x="23"/>
        <item x="673"/>
        <item x="775"/>
        <item x="7"/>
        <item x="813"/>
        <item x="753"/>
        <item x="811"/>
        <item x="476"/>
        <item x="591"/>
        <item x="779"/>
        <item x="914"/>
        <item x="17"/>
        <item x="238"/>
        <item x="627"/>
        <item x="98"/>
        <item x="275"/>
        <item x="777"/>
        <item x="84"/>
        <item x="696"/>
        <item x="791"/>
        <item x="207"/>
        <item x="849"/>
        <item x="676"/>
        <item x="702"/>
        <item x="262"/>
        <item x="607"/>
        <item x="176"/>
        <item x="731"/>
        <item x="899"/>
        <item x="762"/>
        <item x="833"/>
        <item x="701"/>
        <item x="325"/>
        <item x="902"/>
        <item x="488"/>
        <item x="341"/>
        <item x="880"/>
        <item x="921"/>
        <item x="390"/>
        <item x="139"/>
        <item x="487"/>
        <item x="463"/>
        <item x="977"/>
        <item x="416"/>
        <item x="297"/>
        <item x="296"/>
        <item x="157"/>
        <item x="346"/>
        <item x="309"/>
        <item x="270"/>
        <item x="513"/>
        <item x="384"/>
        <item x="347"/>
        <item x="597"/>
        <item x="600"/>
        <item x="522"/>
        <item x="100"/>
        <item x="875"/>
        <item x="820"/>
        <item x="832"/>
        <item x="3"/>
        <item x="647"/>
        <item x="32"/>
        <item x="861"/>
        <item x="744"/>
        <item x="123"/>
        <item x="885"/>
        <item x="35"/>
        <item x="737"/>
        <item x="928"/>
        <item x="423"/>
        <item x="893"/>
        <item x="420"/>
        <item x="276"/>
        <item x="480"/>
        <item x="225"/>
        <item x="495"/>
        <item x="523"/>
        <item x="91"/>
        <item x="679"/>
        <item x="429"/>
        <item x="189"/>
        <item x="745"/>
        <item x="208"/>
        <item x="613"/>
        <item x="240"/>
        <item x="713"/>
        <item x="905"/>
        <item x="964"/>
        <item x="290"/>
        <item x="183"/>
        <item x="819"/>
        <item x="378"/>
        <item x="553"/>
        <item x="4"/>
        <item x="895"/>
        <item x="331"/>
        <item x="48"/>
        <item x="599"/>
        <item x="181"/>
        <item x="641"/>
        <item x="860"/>
        <item x="983"/>
        <item x="827"/>
        <item x="300"/>
        <item x="894"/>
        <item x="865"/>
        <item x="428"/>
        <item x="190"/>
        <item x="427"/>
        <item x="890"/>
        <item x="371"/>
        <item x="415"/>
        <item x="533"/>
        <item x="824"/>
        <item x="68"/>
        <item x="490"/>
        <item x="28"/>
        <item x="749"/>
        <item x="557"/>
        <item x="772"/>
        <item x="662"/>
        <item x="479"/>
        <item x="584"/>
        <item x="704"/>
        <item x="520"/>
        <item x="618"/>
        <item x="674"/>
        <item x="362"/>
        <item x="438"/>
        <item x="184"/>
        <item x="670"/>
        <item x="727"/>
        <item x="539"/>
        <item x="664"/>
        <item x="200"/>
        <item x="272"/>
        <item x="401"/>
        <item x="601"/>
        <item x="412"/>
        <item x="615"/>
        <item x="274"/>
        <item x="349"/>
        <item x="367"/>
        <item x="986"/>
        <item x="598"/>
        <item x="489"/>
        <item x="638"/>
        <item x="111"/>
        <item x="970"/>
        <item x="837"/>
        <item x="501"/>
        <item x="376"/>
        <item x="756"/>
        <item x="962"/>
        <item x="319"/>
        <item x="96"/>
        <item x="88"/>
        <item x="50"/>
        <item x="171"/>
        <item x="198"/>
        <item x="767"/>
        <item x="210"/>
        <item x="532"/>
        <item x="159"/>
        <item x="42"/>
        <item x="36"/>
        <item x="760"/>
        <item x="47"/>
        <item x="517"/>
        <item x="305"/>
        <item x="918"/>
        <item x="302"/>
        <item x="454"/>
        <item x="752"/>
        <item x="980"/>
        <item x="764"/>
        <item x="273"/>
        <item x="195"/>
        <item x="614"/>
        <item x="60"/>
        <item x="19"/>
        <item x="698"/>
        <item x="140"/>
        <item x="965"/>
        <item x="247"/>
        <item x="808"/>
        <item x="758"/>
        <item x="876"/>
        <item x="650"/>
        <item x="153"/>
        <item x="596"/>
        <item x="152"/>
        <item x="892"/>
        <item x="69"/>
        <item x="448"/>
        <item x="858"/>
        <item x="795"/>
        <item x="94"/>
        <item x="430"/>
        <item x="320"/>
        <item x="544"/>
        <item x="663"/>
        <item x="658"/>
        <item x="450"/>
        <item x="424"/>
        <item x="659"/>
        <item x="31"/>
        <item x="882"/>
        <item x="393"/>
        <item x="930"/>
        <item x="135"/>
        <item x="535"/>
        <item x="444"/>
        <item x="869"/>
        <item x="133"/>
        <item x="460"/>
        <item x="671"/>
        <item x="554"/>
        <item x="831"/>
        <item x="722"/>
        <item x="915"/>
        <item x="470"/>
        <item x="530"/>
        <item x="653"/>
        <item x="223"/>
        <item x="834"/>
        <item x="6"/>
        <item x="486"/>
        <item x="886"/>
        <item x="593"/>
        <item x="524"/>
        <item x="929"/>
        <item x="916"/>
        <item x="191"/>
        <item x="973"/>
        <item x="164"/>
        <item x="439"/>
        <item x="425"/>
        <item x="370"/>
        <item x="572"/>
        <item x="174"/>
        <item x="70"/>
        <item x="197"/>
        <item x="623"/>
        <item x="805"/>
        <item x="978"/>
        <item x="755"/>
        <item x="943"/>
        <item x="241"/>
        <item x="769"/>
        <item x="574"/>
        <item x="147"/>
        <item x="343"/>
        <item x="955"/>
        <item x="643"/>
        <item x="193"/>
        <item x="564"/>
        <item x="504"/>
        <item x="410"/>
        <item x="211"/>
        <item x="87"/>
        <item x="826"/>
        <item x="844"/>
        <item x="526"/>
        <item x="957"/>
        <item x="716"/>
        <item x="359"/>
        <item x="199"/>
        <item x="1"/>
        <item x="317"/>
        <item x="354"/>
        <item x="675"/>
        <item x="72"/>
        <item x="277"/>
        <item x="730"/>
        <item x="307"/>
        <item x="545"/>
        <item x="258"/>
        <item x="528"/>
        <item x="926"/>
        <item x="419"/>
        <item x="925"/>
        <item x="245"/>
        <item x="382"/>
        <item x="897"/>
        <item x="90"/>
        <item x="766"/>
        <item x="788"/>
        <item x="839"/>
        <item x="477"/>
        <item x="846"/>
        <item x="961"/>
        <item x="433"/>
        <item x="666"/>
        <item x="750"/>
        <item x="267"/>
        <item x="219"/>
        <item x="785"/>
        <item x="979"/>
        <item x="289"/>
        <item x="244"/>
        <item x="62"/>
        <item x="254"/>
        <item x="681"/>
        <item x="558"/>
        <item x="741"/>
        <item x="246"/>
        <item x="345"/>
        <item x="337"/>
        <item x="73"/>
        <item x="322"/>
        <item x="691"/>
        <item x="968"/>
        <item x="877"/>
        <item x="432"/>
        <item x="956"/>
        <item x="508"/>
        <item x="549"/>
        <item x="845"/>
        <item x="969"/>
        <item x="948"/>
        <item x="937"/>
        <item x="408"/>
        <item x="628"/>
        <item x="351"/>
        <item x="263"/>
        <item x="473"/>
        <item x="509"/>
        <item x="447"/>
        <item x="66"/>
        <item x="314"/>
        <item x="809"/>
        <item x="101"/>
        <item x="417"/>
        <item x="851"/>
        <item x="404"/>
        <item x="537"/>
        <item x="78"/>
        <item x="934"/>
        <item x="566"/>
        <item x="118"/>
        <item x="255"/>
        <item x="792"/>
        <item x="735"/>
        <item x="913"/>
        <item x="859"/>
        <item x="80"/>
        <item x="124"/>
        <item x="828"/>
        <item x="797"/>
        <item x="33"/>
        <item x="708"/>
        <item x="502"/>
        <item x="562"/>
        <item x="186"/>
        <item x="966"/>
        <item x="924"/>
        <item x="12"/>
        <item x="806"/>
        <item x="982"/>
        <item x="690"/>
        <item x="765"/>
        <item x="180"/>
        <item x="919"/>
        <item x="556"/>
        <item x="665"/>
        <item x="467"/>
        <item x="624"/>
        <item x="39"/>
        <item x="266"/>
        <item x="257"/>
        <item x="288"/>
        <item x="542"/>
        <item x="710"/>
        <item x="397"/>
        <item x="51"/>
        <item x="469"/>
        <item x="644"/>
        <item x="234"/>
        <item x="109"/>
        <item x="442"/>
        <item x="361"/>
        <item x="65"/>
        <item x="800"/>
        <item x="801"/>
        <item x="546"/>
        <item x="231"/>
        <item x="413"/>
        <item x="213"/>
        <item x="352"/>
        <item x="399"/>
        <item x="75"/>
        <item x="682"/>
        <item x="668"/>
        <item x="707"/>
        <item x="173"/>
        <item x="975"/>
        <item x="360"/>
        <item x="49"/>
        <item x="461"/>
        <item x="840"/>
        <item x="941"/>
        <item x="235"/>
        <item x="578"/>
        <item x="483"/>
        <item x="984"/>
        <item x="587"/>
        <item x="379"/>
        <item x="446"/>
        <item x="377"/>
        <item x="179"/>
        <item x="205"/>
        <item x="705"/>
        <item x="789"/>
        <item x="182"/>
        <item x="440"/>
        <item x="426"/>
        <item x="55"/>
        <item x="577"/>
        <item x="221"/>
        <item x="15"/>
        <item x="879"/>
        <item x="739"/>
        <item x="188"/>
        <item x="400"/>
        <item x="250"/>
        <item x="251"/>
        <item x="881"/>
        <item x="218"/>
        <item x="364"/>
        <item x="610"/>
        <item x="170"/>
        <item x="631"/>
        <item x="485"/>
        <item x="138"/>
        <item x="54"/>
        <item x="580"/>
        <item x="26"/>
        <item x="603"/>
        <item x="24"/>
        <item x="768"/>
        <item x="466"/>
        <item x="236"/>
        <item x="14"/>
        <item x="619"/>
        <item x="714"/>
        <item x="456"/>
        <item x="436"/>
        <item x="901"/>
        <item x="187"/>
        <item x="783"/>
        <item x="175"/>
        <item x="99"/>
        <item x="9"/>
        <item t="default"/>
      </items>
    </pivotField>
    <pivotField showAll="0"/>
  </pivotFields>
  <rowFields count="1">
    <field x="10"/>
  </rowFields>
  <rowItems count="6">
    <i>
      <x/>
    </i>
    <i>
      <x v="1"/>
    </i>
    <i>
      <x v="2"/>
    </i>
    <i>
      <x v="3"/>
    </i>
    <i>
      <x v="4"/>
    </i>
    <i t="grand">
      <x/>
    </i>
  </rowItems>
  <colItems count="1">
    <i/>
  </colItems>
  <dataFields count="1">
    <dataField name="Sum of Net_Revenue" fld="17" baseField="0" baseItem="0" numFmtId="44"/>
  </dataFields>
  <formats count="1">
    <format dxfId="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C1AAAE-35BD-40D3-AB95-E528CF2A52C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9:B84" firstHeaderRow="1" firstDataRow="1" firstDataCol="1"/>
  <pivotFields count="20">
    <pivotField showAll="0"/>
    <pivotField showAll="0"/>
    <pivotField showAll="0"/>
    <pivotField showAll="0"/>
    <pivotField showAll="0">
      <items count="16">
        <item x="6"/>
        <item x="7"/>
        <item x="12"/>
        <item x="8"/>
        <item x="2"/>
        <item x="10"/>
        <item x="0"/>
        <item x="13"/>
        <item x="1"/>
        <item x="9"/>
        <item x="4"/>
        <item x="14"/>
        <item x="5"/>
        <item x="3"/>
        <item x="11"/>
        <item t="default"/>
      </items>
    </pivotField>
    <pivotField showAll="0"/>
    <pivotField showAll="0">
      <items count="6">
        <item x="2"/>
        <item x="4"/>
        <item x="0"/>
        <item x="1"/>
        <item x="3"/>
        <item t="default"/>
      </items>
    </pivotField>
    <pivotField showAll="0">
      <items count="25">
        <item x="4"/>
        <item x="8"/>
        <item x="3"/>
        <item x="21"/>
        <item x="2"/>
        <item x="20"/>
        <item x="16"/>
        <item x="1"/>
        <item x="15"/>
        <item x="11"/>
        <item x="22"/>
        <item x="23"/>
        <item x="5"/>
        <item x="19"/>
        <item x="14"/>
        <item x="9"/>
        <item x="6"/>
        <item x="12"/>
        <item x="10"/>
        <item x="17"/>
        <item x="0"/>
        <item x="7"/>
        <item x="18"/>
        <item x="13"/>
        <item t="default"/>
      </items>
    </pivotField>
    <pivotField showAll="0">
      <items count="13">
        <item x="11"/>
        <item x="10"/>
        <item x="8"/>
        <item x="3"/>
        <item x="4"/>
        <item x="1"/>
        <item x="5"/>
        <item x="9"/>
        <item x="0"/>
        <item x="2"/>
        <item x="7"/>
        <item x="6"/>
        <item t="default"/>
      </items>
    </pivotField>
    <pivotField showAll="0">
      <items count="6">
        <item x="0"/>
        <item x="1"/>
        <item x="3"/>
        <item x="4"/>
        <item x="2"/>
        <item t="default"/>
      </items>
    </pivotField>
    <pivotField showAll="0">
      <items count="6">
        <item x="1"/>
        <item x="0"/>
        <item x="2"/>
        <item x="3"/>
        <item x="4"/>
        <item t="default"/>
      </items>
    </pivotField>
    <pivotField axis="axisRow" showAll="0">
      <items count="5">
        <item x="3"/>
        <item x="1"/>
        <item x="2"/>
        <item x="0"/>
        <item t="default"/>
      </items>
    </pivotField>
    <pivotField showAll="0"/>
    <pivotField showAll="0"/>
    <pivotField numFmtId="9" showAll="0"/>
    <pivotField showAll="0"/>
    <pivotField showAll="0"/>
    <pivotField showAll="0"/>
    <pivotField showAll="0"/>
    <pivotField dataField="1" showAll="0"/>
  </pivotFields>
  <rowFields count="1">
    <field x="11"/>
  </rowFields>
  <rowItems count="5">
    <i>
      <x/>
    </i>
    <i>
      <x v="1"/>
    </i>
    <i>
      <x v="2"/>
    </i>
    <i>
      <x v="3"/>
    </i>
    <i t="grand">
      <x/>
    </i>
  </rowItems>
  <colItems count="1">
    <i/>
  </colItems>
  <dataFields count="1">
    <dataField name="Count of Profit" fld="19" subtotal="count" baseField="0" baseItem="0"/>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40C24D-2998-474D-931C-DA97180579F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55:B161" firstHeaderRow="1" firstDataRow="1" firstDataCol="1"/>
  <pivotFields count="20">
    <pivotField showAll="0"/>
    <pivotField showAll="0"/>
    <pivotField showAll="0"/>
    <pivotField axis="axisRow" showAll="0">
      <items count="6">
        <item x="2"/>
        <item x="0"/>
        <item x="1"/>
        <item x="4"/>
        <item x="3"/>
        <item t="default"/>
      </items>
    </pivotField>
    <pivotField showAll="0">
      <items count="16">
        <item x="6"/>
        <item x="7"/>
        <item x="12"/>
        <item x="8"/>
        <item x="2"/>
        <item x="10"/>
        <item x="0"/>
        <item x="13"/>
        <item x="1"/>
        <item x="9"/>
        <item x="4"/>
        <item x="14"/>
        <item x="5"/>
        <item x="3"/>
        <item x="11"/>
        <item t="default"/>
      </items>
    </pivotField>
    <pivotField showAll="0">
      <items count="5">
        <item x="2"/>
        <item x="1"/>
        <item x="0"/>
        <item x="3"/>
        <item t="default"/>
      </items>
    </pivotField>
    <pivotField showAll="0">
      <items count="6">
        <item x="2"/>
        <item x="4"/>
        <item x="0"/>
        <item x="1"/>
        <item x="3"/>
        <item t="default"/>
      </items>
    </pivotField>
    <pivotField showAll="0">
      <items count="25">
        <item x="4"/>
        <item x="8"/>
        <item x="3"/>
        <item x="21"/>
        <item x="2"/>
        <item x="20"/>
        <item x="16"/>
        <item x="1"/>
        <item x="15"/>
        <item x="11"/>
        <item x="22"/>
        <item x="23"/>
        <item x="5"/>
        <item x="19"/>
        <item x="14"/>
        <item x="9"/>
        <item x="6"/>
        <item x="12"/>
        <item x="10"/>
        <item x="17"/>
        <item x="0"/>
        <item x="7"/>
        <item x="18"/>
        <item x="13"/>
        <item t="default"/>
      </items>
    </pivotField>
    <pivotField showAll="0">
      <items count="13">
        <item x="11"/>
        <item x="10"/>
        <item x="8"/>
        <item x="3"/>
        <item x="4"/>
        <item x="1"/>
        <item x="5"/>
        <item x="9"/>
        <item x="0"/>
        <item x="2"/>
        <item x="7"/>
        <item x="6"/>
        <item t="default"/>
      </items>
    </pivotField>
    <pivotField showAll="0">
      <items count="6">
        <item x="0"/>
        <item x="1"/>
        <item x="3"/>
        <item x="4"/>
        <item x="2"/>
        <item t="default"/>
      </items>
    </pivotField>
    <pivotField showAll="0">
      <items count="6">
        <item x="1"/>
        <item x="0"/>
        <item x="2"/>
        <item x="3"/>
        <item x="4"/>
        <item t="default"/>
      </items>
    </pivotField>
    <pivotField showAll="0">
      <items count="5">
        <item x="3"/>
        <item x="1"/>
        <item x="2"/>
        <item x="0"/>
        <item t="default"/>
      </items>
    </pivotField>
    <pivotField showAll="0"/>
    <pivotField dataField="1" showAll="0"/>
    <pivotField numFmtId="9" showAll="0"/>
    <pivotField showAll="0"/>
    <pivotField showAll="0"/>
    <pivotField showAll="0"/>
    <pivotField showAll="0">
      <items count="989">
        <item x="611"/>
        <item x="667"/>
        <item x="672"/>
        <item x="799"/>
        <item x="475"/>
        <item x="854"/>
        <item x="102"/>
        <item x="265"/>
        <item x="981"/>
        <item x="468"/>
        <item x="204"/>
        <item x="683"/>
        <item x="129"/>
        <item x="654"/>
        <item x="357"/>
        <item x="465"/>
        <item x="457"/>
        <item x="365"/>
        <item x="332"/>
        <item x="909"/>
        <item x="154"/>
        <item x="233"/>
        <item x="907"/>
        <item x="661"/>
        <item x="313"/>
        <item x="10"/>
        <item x="547"/>
        <item x="951"/>
        <item x="746"/>
        <item x="155"/>
        <item x="194"/>
        <item x="939"/>
        <item x="178"/>
        <item x="158"/>
        <item x="83"/>
        <item x="131"/>
        <item x="640"/>
        <item x="793"/>
        <item x="621"/>
        <item x="148"/>
        <item x="560"/>
        <item x="945"/>
        <item x="953"/>
        <item x="642"/>
        <item x="847"/>
        <item x="700"/>
        <item x="720"/>
        <item x="781"/>
        <item x="126"/>
        <item x="285"/>
        <item x="260"/>
        <item x="143"/>
        <item x="64"/>
        <item x="559"/>
        <item x="497"/>
        <item x="134"/>
        <item x="935"/>
        <item x="626"/>
        <item x="606"/>
        <item x="511"/>
        <item x="380"/>
        <item x="947"/>
        <item x="717"/>
        <item x="40"/>
        <item x="595"/>
        <item x="656"/>
        <item x="150"/>
        <item x="104"/>
        <item x="478"/>
        <item x="538"/>
        <item x="368"/>
        <item x="29"/>
        <item x="946"/>
        <item x="391"/>
        <item x="736"/>
        <item x="927"/>
        <item x="492"/>
        <item x="543"/>
        <item x="79"/>
        <item x="903"/>
        <item x="353"/>
        <item x="481"/>
        <item x="459"/>
        <item x="298"/>
        <item x="568"/>
        <item x="963"/>
        <item x="589"/>
        <item x="484"/>
        <item x="830"/>
        <item x="389"/>
        <item x="933"/>
        <item x="71"/>
        <item x="46"/>
        <item x="551"/>
        <item x="518"/>
        <item x="782"/>
        <item x="431"/>
        <item x="748"/>
        <item x="923"/>
        <item x="816"/>
        <item x="706"/>
        <item x="310"/>
        <item x="61"/>
        <item x="45"/>
        <item x="498"/>
        <item x="323"/>
        <item x="43"/>
        <item x="807"/>
        <item x="906"/>
        <item x="500"/>
        <item x="383"/>
        <item x="853"/>
        <item x="871"/>
        <item x="127"/>
        <item x="527"/>
        <item x="318"/>
        <item x="108"/>
        <item x="160"/>
        <item x="632"/>
        <item x="453"/>
        <item x="146"/>
        <item x="196"/>
        <item x="637"/>
        <item x="434"/>
        <item x="112"/>
        <item x="786"/>
        <item x="773"/>
        <item x="327"/>
        <item x="141"/>
        <item x="44"/>
        <item x="684"/>
        <item x="536"/>
        <item x="757"/>
        <item x="912"/>
        <item x="85"/>
        <item x="308"/>
        <item x="464"/>
        <item x="503"/>
        <item x="563"/>
        <item x="366"/>
        <item x="422"/>
        <item x="122"/>
        <item x="944"/>
        <item x="724"/>
        <item x="856"/>
        <item x="239"/>
        <item x="625"/>
        <item x="229"/>
        <item x="723"/>
        <item x="633"/>
        <item x="407"/>
        <item x="30"/>
        <item x="555"/>
        <item x="512"/>
        <item x="636"/>
        <item x="790"/>
        <item x="605"/>
        <item x="185"/>
        <item x="529"/>
        <item x="458"/>
        <item x="576"/>
        <item x="163"/>
        <item x="575"/>
        <item x="870"/>
        <item x="284"/>
        <item x="592"/>
        <item x="571"/>
        <item x="192"/>
        <item x="8"/>
        <item x="842"/>
        <item x="586"/>
        <item x="686"/>
        <item x="814"/>
        <item x="493"/>
        <item x="82"/>
        <item x="209"/>
        <item x="794"/>
        <item x="34"/>
        <item x="900"/>
        <item x="22"/>
        <item x="936"/>
        <item x="931"/>
        <item x="335"/>
        <item x="620"/>
        <item x="259"/>
        <item x="852"/>
        <item x="866"/>
        <item x="812"/>
        <item x="350"/>
        <item x="312"/>
        <item x="76"/>
        <item x="232"/>
        <item x="63"/>
        <item x="740"/>
        <item x="89"/>
        <item x="74"/>
        <item x="616"/>
        <item x="863"/>
        <item x="455"/>
        <item x="959"/>
        <item x="156"/>
        <item x="77"/>
        <item x="299"/>
        <item x="843"/>
        <item x="780"/>
        <item x="21"/>
        <item x="694"/>
        <item x="214"/>
        <item x="315"/>
        <item x="283"/>
        <item x="316"/>
        <item x="402"/>
        <item x="252"/>
        <item x="278"/>
        <item x="590"/>
        <item x="548"/>
        <item x="798"/>
        <item x="11"/>
        <item x="567"/>
        <item x="405"/>
        <item x="381"/>
        <item x="228"/>
        <item x="227"/>
        <item x="570"/>
        <item x="311"/>
        <item x="253"/>
        <item x="888"/>
        <item x="634"/>
        <item x="451"/>
        <item x="321"/>
        <item x="972"/>
        <item x="985"/>
        <item x="803"/>
        <item x="27"/>
        <item x="841"/>
        <item x="166"/>
        <item x="282"/>
        <item x="569"/>
        <item x="655"/>
        <item x="552"/>
        <item x="496"/>
        <item x="709"/>
        <item x="669"/>
        <item x="491"/>
        <item x="97"/>
        <item x="306"/>
        <item x="67"/>
        <item x="230"/>
        <item x="817"/>
        <item x="388"/>
        <item x="248"/>
        <item x="646"/>
        <item x="125"/>
        <item x="778"/>
        <item x="386"/>
        <item x="472"/>
        <item x="441"/>
        <item x="617"/>
        <item x="920"/>
        <item x="392"/>
        <item x="823"/>
        <item x="215"/>
        <item x="271"/>
        <item x="226"/>
        <item x="398"/>
        <item x="355"/>
        <item x="687"/>
        <item x="149"/>
        <item x="829"/>
        <item x="128"/>
        <item x="92"/>
        <item x="56"/>
        <item x="582"/>
        <item x="116"/>
        <item x="344"/>
        <item x="373"/>
        <item x="142"/>
        <item x="751"/>
        <item x="810"/>
        <item x="699"/>
        <item x="904"/>
        <item x="342"/>
        <item x="237"/>
        <item x="348"/>
        <item x="695"/>
        <item x="374"/>
        <item x="403"/>
        <item x="889"/>
        <item x="721"/>
        <item x="443"/>
        <item x="585"/>
        <item x="167"/>
        <item x="612"/>
        <item x="293"/>
        <item x="891"/>
        <item x="796"/>
        <item x="734"/>
        <item x="540"/>
        <item x="328"/>
        <item x="338"/>
        <item x="649"/>
        <item x="113"/>
        <item x="418"/>
        <item x="394"/>
        <item x="177"/>
        <item x="952"/>
        <item x="519"/>
        <item x="217"/>
        <item x="715"/>
        <item x="622"/>
        <item x="499"/>
        <item x="462"/>
        <item x="873"/>
        <item x="222"/>
        <item x="855"/>
        <item x="53"/>
        <item x="411"/>
        <item x="114"/>
        <item x="165"/>
        <item x="216"/>
        <item x="729"/>
        <item x="421"/>
        <item x="651"/>
        <item x="838"/>
        <item x="689"/>
        <item x="505"/>
        <item x="224"/>
        <item x="652"/>
        <item x="414"/>
        <item x="887"/>
        <item x="0"/>
        <item x="908"/>
        <item x="958"/>
        <item x="206"/>
        <item x="693"/>
        <item x="776"/>
        <item x="435"/>
        <item x="2"/>
        <item x="144"/>
        <item x="203"/>
        <item x="733"/>
        <item x="629"/>
        <item x="471"/>
        <item x="898"/>
        <item x="802"/>
        <item x="303"/>
        <item x="363"/>
        <item x="770"/>
        <item x="883"/>
        <item x="784"/>
        <item x="243"/>
        <item x="954"/>
        <item x="648"/>
        <item x="107"/>
        <item x="534"/>
        <item x="922"/>
        <item x="583"/>
        <item x="103"/>
        <item x="119"/>
        <item x="525"/>
        <item x="93"/>
        <item x="291"/>
        <item x="743"/>
        <item x="516"/>
        <item x="286"/>
        <item x="712"/>
        <item x="884"/>
        <item x="57"/>
        <item x="396"/>
        <item x="862"/>
        <item x="507"/>
        <item x="5"/>
        <item x="268"/>
        <item x="763"/>
        <item x="279"/>
        <item x="452"/>
        <item x="685"/>
        <item x="680"/>
        <item x="37"/>
        <item x="688"/>
        <item x="967"/>
        <item x="822"/>
        <item x="249"/>
        <item x="115"/>
        <item x="719"/>
        <item x="974"/>
        <item x="932"/>
        <item x="635"/>
        <item x="330"/>
        <item x="261"/>
        <item x="395"/>
        <item x="110"/>
        <item x="514"/>
        <item x="95"/>
        <item x="292"/>
        <item x="506"/>
        <item x="59"/>
        <item x="728"/>
        <item x="976"/>
        <item x="608"/>
        <item x="521"/>
        <item x="868"/>
        <item x="864"/>
        <item x="474"/>
        <item x="604"/>
        <item x="136"/>
        <item x="971"/>
        <item x="409"/>
        <item x="372"/>
        <item x="754"/>
        <item x="406"/>
        <item x="25"/>
        <item x="726"/>
        <item x="660"/>
        <item x="639"/>
        <item x="120"/>
        <item x="761"/>
        <item x="494"/>
        <item x="264"/>
        <item x="588"/>
        <item x="609"/>
        <item x="304"/>
        <item x="872"/>
        <item x="942"/>
        <item x="202"/>
        <item x="678"/>
        <item x="771"/>
        <item x="573"/>
        <item x="151"/>
        <item x="132"/>
        <item x="602"/>
        <item x="287"/>
        <item x="949"/>
        <item x="910"/>
        <item x="242"/>
        <item x="385"/>
        <item x="301"/>
        <item x="121"/>
        <item x="13"/>
        <item x="482"/>
        <item x="168"/>
        <item x="821"/>
        <item x="340"/>
        <item x="787"/>
        <item x="950"/>
        <item x="711"/>
        <item x="201"/>
        <item x="857"/>
        <item x="18"/>
        <item x="117"/>
        <item x="630"/>
        <item x="510"/>
        <item x="86"/>
        <item x="848"/>
        <item x="336"/>
        <item x="161"/>
        <item x="825"/>
        <item x="106"/>
        <item x="867"/>
        <item x="836"/>
        <item x="692"/>
        <item x="732"/>
        <item x="280"/>
        <item x="645"/>
        <item x="329"/>
        <item x="531"/>
        <item x="162"/>
        <item x="105"/>
        <item x="172"/>
        <item x="212"/>
        <item x="896"/>
        <item x="356"/>
        <item x="334"/>
        <item x="130"/>
        <item x="742"/>
        <item x="738"/>
        <item x="759"/>
        <item x="375"/>
        <item x="38"/>
        <item x="747"/>
        <item x="703"/>
        <item x="449"/>
        <item x="657"/>
        <item x="52"/>
        <item x="541"/>
        <item x="725"/>
        <item x="387"/>
        <item x="20"/>
        <item x="281"/>
        <item x="917"/>
        <item x="774"/>
        <item x="677"/>
        <item x="58"/>
        <item x="565"/>
        <item x="294"/>
        <item x="960"/>
        <item x="269"/>
        <item x="718"/>
        <item x="326"/>
        <item x="561"/>
        <item x="697"/>
        <item x="515"/>
        <item x="295"/>
        <item x="550"/>
        <item x="594"/>
        <item x="16"/>
        <item x="445"/>
        <item x="911"/>
        <item x="358"/>
        <item x="878"/>
        <item x="220"/>
        <item x="437"/>
        <item x="835"/>
        <item x="874"/>
        <item x="169"/>
        <item x="818"/>
        <item x="81"/>
        <item x="987"/>
        <item x="579"/>
        <item x="938"/>
        <item x="940"/>
        <item x="256"/>
        <item x="339"/>
        <item x="804"/>
        <item x="137"/>
        <item x="850"/>
        <item x="41"/>
        <item x="369"/>
        <item x="324"/>
        <item x="581"/>
        <item x="333"/>
        <item x="145"/>
        <item x="815"/>
        <item x="23"/>
        <item x="673"/>
        <item x="775"/>
        <item x="7"/>
        <item x="813"/>
        <item x="753"/>
        <item x="811"/>
        <item x="476"/>
        <item x="591"/>
        <item x="779"/>
        <item x="914"/>
        <item x="17"/>
        <item x="238"/>
        <item x="627"/>
        <item x="98"/>
        <item x="275"/>
        <item x="777"/>
        <item x="84"/>
        <item x="696"/>
        <item x="791"/>
        <item x="207"/>
        <item x="849"/>
        <item x="676"/>
        <item x="702"/>
        <item x="262"/>
        <item x="607"/>
        <item x="176"/>
        <item x="731"/>
        <item x="899"/>
        <item x="762"/>
        <item x="833"/>
        <item x="701"/>
        <item x="325"/>
        <item x="902"/>
        <item x="488"/>
        <item x="341"/>
        <item x="880"/>
        <item x="921"/>
        <item x="390"/>
        <item x="139"/>
        <item x="487"/>
        <item x="463"/>
        <item x="977"/>
        <item x="416"/>
        <item x="297"/>
        <item x="296"/>
        <item x="157"/>
        <item x="346"/>
        <item x="309"/>
        <item x="270"/>
        <item x="513"/>
        <item x="384"/>
        <item x="347"/>
        <item x="597"/>
        <item x="600"/>
        <item x="522"/>
        <item x="100"/>
        <item x="875"/>
        <item x="820"/>
        <item x="832"/>
        <item x="3"/>
        <item x="647"/>
        <item x="32"/>
        <item x="861"/>
        <item x="744"/>
        <item x="123"/>
        <item x="885"/>
        <item x="35"/>
        <item x="737"/>
        <item x="928"/>
        <item x="423"/>
        <item x="893"/>
        <item x="420"/>
        <item x="276"/>
        <item x="480"/>
        <item x="225"/>
        <item x="495"/>
        <item x="523"/>
        <item x="91"/>
        <item x="679"/>
        <item x="429"/>
        <item x="189"/>
        <item x="745"/>
        <item x="208"/>
        <item x="613"/>
        <item x="240"/>
        <item x="713"/>
        <item x="905"/>
        <item x="964"/>
        <item x="290"/>
        <item x="183"/>
        <item x="819"/>
        <item x="378"/>
        <item x="553"/>
        <item x="4"/>
        <item x="895"/>
        <item x="331"/>
        <item x="48"/>
        <item x="599"/>
        <item x="181"/>
        <item x="641"/>
        <item x="860"/>
        <item x="983"/>
        <item x="827"/>
        <item x="300"/>
        <item x="894"/>
        <item x="865"/>
        <item x="428"/>
        <item x="190"/>
        <item x="427"/>
        <item x="890"/>
        <item x="371"/>
        <item x="415"/>
        <item x="533"/>
        <item x="824"/>
        <item x="68"/>
        <item x="490"/>
        <item x="28"/>
        <item x="749"/>
        <item x="557"/>
        <item x="772"/>
        <item x="662"/>
        <item x="479"/>
        <item x="584"/>
        <item x="704"/>
        <item x="520"/>
        <item x="618"/>
        <item x="674"/>
        <item x="362"/>
        <item x="438"/>
        <item x="184"/>
        <item x="670"/>
        <item x="727"/>
        <item x="539"/>
        <item x="664"/>
        <item x="200"/>
        <item x="272"/>
        <item x="401"/>
        <item x="601"/>
        <item x="412"/>
        <item x="615"/>
        <item x="274"/>
        <item x="349"/>
        <item x="367"/>
        <item x="986"/>
        <item x="598"/>
        <item x="489"/>
        <item x="638"/>
        <item x="111"/>
        <item x="970"/>
        <item x="837"/>
        <item x="501"/>
        <item x="376"/>
        <item x="756"/>
        <item x="962"/>
        <item x="319"/>
        <item x="96"/>
        <item x="88"/>
        <item x="50"/>
        <item x="171"/>
        <item x="198"/>
        <item x="767"/>
        <item x="210"/>
        <item x="532"/>
        <item x="159"/>
        <item x="42"/>
        <item x="36"/>
        <item x="760"/>
        <item x="47"/>
        <item x="517"/>
        <item x="305"/>
        <item x="918"/>
        <item x="302"/>
        <item x="454"/>
        <item x="752"/>
        <item x="980"/>
        <item x="764"/>
        <item x="273"/>
        <item x="195"/>
        <item x="614"/>
        <item x="60"/>
        <item x="19"/>
        <item x="698"/>
        <item x="140"/>
        <item x="965"/>
        <item x="247"/>
        <item x="808"/>
        <item x="758"/>
        <item x="876"/>
        <item x="650"/>
        <item x="153"/>
        <item x="596"/>
        <item x="152"/>
        <item x="892"/>
        <item x="69"/>
        <item x="448"/>
        <item x="858"/>
        <item x="795"/>
        <item x="94"/>
        <item x="430"/>
        <item x="320"/>
        <item x="544"/>
        <item x="663"/>
        <item x="658"/>
        <item x="450"/>
        <item x="424"/>
        <item x="659"/>
        <item x="31"/>
        <item x="882"/>
        <item x="393"/>
        <item x="930"/>
        <item x="135"/>
        <item x="535"/>
        <item x="444"/>
        <item x="869"/>
        <item x="133"/>
        <item x="460"/>
        <item x="671"/>
        <item x="554"/>
        <item x="831"/>
        <item x="722"/>
        <item x="915"/>
        <item x="470"/>
        <item x="530"/>
        <item x="653"/>
        <item x="223"/>
        <item x="834"/>
        <item x="6"/>
        <item x="486"/>
        <item x="886"/>
        <item x="593"/>
        <item x="524"/>
        <item x="929"/>
        <item x="916"/>
        <item x="191"/>
        <item x="973"/>
        <item x="164"/>
        <item x="439"/>
        <item x="425"/>
        <item x="370"/>
        <item x="572"/>
        <item x="174"/>
        <item x="70"/>
        <item x="197"/>
        <item x="623"/>
        <item x="805"/>
        <item x="978"/>
        <item x="755"/>
        <item x="943"/>
        <item x="241"/>
        <item x="769"/>
        <item x="574"/>
        <item x="147"/>
        <item x="343"/>
        <item x="955"/>
        <item x="643"/>
        <item x="193"/>
        <item x="564"/>
        <item x="504"/>
        <item x="410"/>
        <item x="211"/>
        <item x="87"/>
        <item x="826"/>
        <item x="844"/>
        <item x="526"/>
        <item x="957"/>
        <item x="716"/>
        <item x="359"/>
        <item x="199"/>
        <item x="1"/>
        <item x="317"/>
        <item x="354"/>
        <item x="675"/>
        <item x="72"/>
        <item x="277"/>
        <item x="730"/>
        <item x="307"/>
        <item x="545"/>
        <item x="258"/>
        <item x="528"/>
        <item x="926"/>
        <item x="419"/>
        <item x="925"/>
        <item x="245"/>
        <item x="382"/>
        <item x="897"/>
        <item x="90"/>
        <item x="766"/>
        <item x="788"/>
        <item x="839"/>
        <item x="477"/>
        <item x="846"/>
        <item x="961"/>
        <item x="433"/>
        <item x="666"/>
        <item x="750"/>
        <item x="267"/>
        <item x="219"/>
        <item x="785"/>
        <item x="979"/>
        <item x="289"/>
        <item x="244"/>
        <item x="62"/>
        <item x="254"/>
        <item x="681"/>
        <item x="558"/>
        <item x="741"/>
        <item x="246"/>
        <item x="345"/>
        <item x="337"/>
        <item x="73"/>
        <item x="322"/>
        <item x="691"/>
        <item x="968"/>
        <item x="877"/>
        <item x="432"/>
        <item x="956"/>
        <item x="508"/>
        <item x="549"/>
        <item x="845"/>
        <item x="969"/>
        <item x="948"/>
        <item x="937"/>
        <item x="408"/>
        <item x="628"/>
        <item x="351"/>
        <item x="263"/>
        <item x="473"/>
        <item x="509"/>
        <item x="447"/>
        <item x="66"/>
        <item x="314"/>
        <item x="809"/>
        <item x="101"/>
        <item x="417"/>
        <item x="851"/>
        <item x="404"/>
        <item x="537"/>
        <item x="78"/>
        <item x="934"/>
        <item x="566"/>
        <item x="118"/>
        <item x="255"/>
        <item x="792"/>
        <item x="735"/>
        <item x="913"/>
        <item x="859"/>
        <item x="80"/>
        <item x="124"/>
        <item x="828"/>
        <item x="797"/>
        <item x="33"/>
        <item x="708"/>
        <item x="502"/>
        <item x="562"/>
        <item x="186"/>
        <item x="966"/>
        <item x="924"/>
        <item x="12"/>
        <item x="806"/>
        <item x="982"/>
        <item x="690"/>
        <item x="765"/>
        <item x="180"/>
        <item x="919"/>
        <item x="556"/>
        <item x="665"/>
        <item x="467"/>
        <item x="624"/>
        <item x="39"/>
        <item x="266"/>
        <item x="257"/>
        <item x="288"/>
        <item x="542"/>
        <item x="710"/>
        <item x="397"/>
        <item x="51"/>
        <item x="469"/>
        <item x="644"/>
        <item x="234"/>
        <item x="109"/>
        <item x="442"/>
        <item x="361"/>
        <item x="65"/>
        <item x="800"/>
        <item x="801"/>
        <item x="546"/>
        <item x="231"/>
        <item x="413"/>
        <item x="213"/>
        <item x="352"/>
        <item x="399"/>
        <item x="75"/>
        <item x="682"/>
        <item x="668"/>
        <item x="707"/>
        <item x="173"/>
        <item x="975"/>
        <item x="360"/>
        <item x="49"/>
        <item x="461"/>
        <item x="840"/>
        <item x="941"/>
        <item x="235"/>
        <item x="578"/>
        <item x="483"/>
        <item x="984"/>
        <item x="587"/>
        <item x="379"/>
        <item x="446"/>
        <item x="377"/>
        <item x="179"/>
        <item x="205"/>
        <item x="705"/>
        <item x="789"/>
        <item x="182"/>
        <item x="440"/>
        <item x="426"/>
        <item x="55"/>
        <item x="577"/>
        <item x="221"/>
        <item x="15"/>
        <item x="879"/>
        <item x="739"/>
        <item x="188"/>
        <item x="400"/>
        <item x="250"/>
        <item x="251"/>
        <item x="881"/>
        <item x="218"/>
        <item x="364"/>
        <item x="610"/>
        <item x="170"/>
        <item x="631"/>
        <item x="485"/>
        <item x="138"/>
        <item x="54"/>
        <item x="580"/>
        <item x="26"/>
        <item x="603"/>
        <item x="24"/>
        <item x="768"/>
        <item x="466"/>
        <item x="236"/>
        <item x="14"/>
        <item x="619"/>
        <item x="714"/>
        <item x="456"/>
        <item x="436"/>
        <item x="901"/>
        <item x="187"/>
        <item x="783"/>
        <item x="175"/>
        <item x="99"/>
        <item x="9"/>
        <item t="default"/>
      </items>
    </pivotField>
    <pivotField showAll="0"/>
  </pivotFields>
  <rowFields count="1">
    <field x="3"/>
  </rowFields>
  <rowItems count="6">
    <i>
      <x/>
    </i>
    <i>
      <x v="1"/>
    </i>
    <i>
      <x v="2"/>
    </i>
    <i>
      <x v="3"/>
    </i>
    <i>
      <x v="4"/>
    </i>
    <i t="grand">
      <x/>
    </i>
  </rowItems>
  <colItems count="1">
    <i/>
  </colItems>
  <dataFields count="1">
    <dataField name="Count of Quantity" fld="13" subtotal="count" baseField="3" baseItem="0"/>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C14D6F-F74E-4C58-AFF9-7ADAD57B60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B66" firstHeaderRow="1" firstDataRow="1" firstDataCol="1"/>
  <pivotFields count="20">
    <pivotField showAll="0"/>
    <pivotField showAll="0"/>
    <pivotField showAll="0"/>
    <pivotField showAll="0"/>
    <pivotField showAll="0">
      <items count="16">
        <item x="6"/>
        <item x="7"/>
        <item x="12"/>
        <item x="8"/>
        <item x="2"/>
        <item x="10"/>
        <item x="0"/>
        <item x="13"/>
        <item x="1"/>
        <item x="9"/>
        <item x="4"/>
        <item x="14"/>
        <item x="5"/>
        <item x="3"/>
        <item x="11"/>
        <item t="default"/>
      </items>
    </pivotField>
    <pivotField showAll="0"/>
    <pivotField showAll="0">
      <items count="6">
        <item x="2"/>
        <item x="4"/>
        <item x="0"/>
        <item x="1"/>
        <item x="3"/>
        <item t="default"/>
      </items>
    </pivotField>
    <pivotField axis="axisRow" showAll="0">
      <items count="25">
        <item x="4"/>
        <item x="8"/>
        <item x="3"/>
        <item x="21"/>
        <item x="2"/>
        <item x="20"/>
        <item x="16"/>
        <item x="1"/>
        <item x="15"/>
        <item x="11"/>
        <item x="22"/>
        <item x="23"/>
        <item x="5"/>
        <item x="19"/>
        <item x="14"/>
        <item x="9"/>
        <item x="6"/>
        <item x="12"/>
        <item x="10"/>
        <item x="17"/>
        <item x="0"/>
        <item x="7"/>
        <item x="18"/>
        <item x="13"/>
        <item t="default"/>
      </items>
    </pivotField>
    <pivotField showAll="0">
      <items count="13">
        <item x="11"/>
        <item x="10"/>
        <item x="8"/>
        <item x="3"/>
        <item x="4"/>
        <item x="1"/>
        <item x="5"/>
        <item x="9"/>
        <item x="0"/>
        <item x="2"/>
        <item x="7"/>
        <item x="6"/>
        <item t="default"/>
      </items>
    </pivotField>
    <pivotField showAll="0">
      <items count="6">
        <item x="0"/>
        <item x="1"/>
        <item x="3"/>
        <item x="4"/>
        <item x="2"/>
        <item t="default"/>
      </items>
    </pivotField>
    <pivotField showAll="0">
      <items count="6">
        <item x="1"/>
        <item x="0"/>
        <item x="2"/>
        <item x="3"/>
        <item x="4"/>
        <item t="default"/>
      </items>
    </pivotField>
    <pivotField showAll="0">
      <items count="5">
        <item x="3"/>
        <item x="1"/>
        <item x="2"/>
        <item x="0"/>
        <item t="default"/>
      </items>
    </pivotField>
    <pivotField showAll="0"/>
    <pivotField showAll="0"/>
    <pivotField numFmtId="9" showAll="0"/>
    <pivotField showAll="0"/>
    <pivotField showAll="0"/>
    <pivotField dataField="1" showAll="0"/>
    <pivotField showAll="0"/>
    <pivotField showAll="0"/>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Net_Revenue" fld="17" baseField="0" baseItem="0"/>
  </dataFields>
  <formats count="1">
    <format dxfId="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757DE0-4A51-432F-93A8-F3C5C42716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6:B32" firstHeaderRow="1" firstDataRow="1" firstDataCol="1"/>
  <pivotFields count="20">
    <pivotField showAll="0"/>
    <pivotField showAll="0"/>
    <pivotField showAll="0"/>
    <pivotField showAll="0"/>
    <pivotField showAll="0">
      <items count="16">
        <item x="6"/>
        <item x="7"/>
        <item x="12"/>
        <item x="8"/>
        <item x="2"/>
        <item x="10"/>
        <item x="0"/>
        <item x="13"/>
        <item x="1"/>
        <item x="9"/>
        <item x="4"/>
        <item x="14"/>
        <item x="5"/>
        <item x="3"/>
        <item x="11"/>
        <item t="default"/>
      </items>
    </pivotField>
    <pivotField showAll="0"/>
    <pivotField axis="axisRow" showAll="0">
      <items count="6">
        <item x="2"/>
        <item x="4"/>
        <item x="0"/>
        <item x="1"/>
        <item x="3"/>
        <item t="default"/>
      </items>
    </pivotField>
    <pivotField showAll="0"/>
    <pivotField showAll="0">
      <items count="13">
        <item x="11"/>
        <item x="10"/>
        <item x="8"/>
        <item x="3"/>
        <item x="4"/>
        <item x="1"/>
        <item x="5"/>
        <item x="9"/>
        <item x="0"/>
        <item x="2"/>
        <item x="7"/>
        <item x="6"/>
        <item t="default"/>
      </items>
    </pivotField>
    <pivotField showAll="0">
      <items count="6">
        <item x="0"/>
        <item x="1"/>
        <item x="3"/>
        <item x="4"/>
        <item x="2"/>
        <item t="default"/>
      </items>
    </pivotField>
    <pivotField showAll="0">
      <items count="6">
        <item x="1"/>
        <item x="0"/>
        <item x="2"/>
        <item x="3"/>
        <item x="4"/>
        <item t="default"/>
      </items>
    </pivotField>
    <pivotField showAll="0">
      <items count="5">
        <item x="3"/>
        <item x="1"/>
        <item x="2"/>
        <item x="0"/>
        <item t="default"/>
      </items>
    </pivotField>
    <pivotField showAll="0"/>
    <pivotField showAll="0"/>
    <pivotField numFmtId="9" showAll="0"/>
    <pivotField showAll="0"/>
    <pivotField showAll="0"/>
    <pivotField dataField="1" showAll="0"/>
    <pivotField showAll="0"/>
    <pivotField showAll="0"/>
  </pivotFields>
  <rowFields count="1">
    <field x="6"/>
  </rowFields>
  <rowItems count="6">
    <i>
      <x/>
    </i>
    <i>
      <x v="1"/>
    </i>
    <i>
      <x v="2"/>
    </i>
    <i>
      <x v="3"/>
    </i>
    <i>
      <x v="4"/>
    </i>
    <i t="grand">
      <x/>
    </i>
  </rowItems>
  <colItems count="1">
    <i/>
  </colItems>
  <dataFields count="1">
    <dataField name="Sum of Net_Revenue" fld="17" baseField="0" baseItem="0"/>
  </dataFields>
  <formats count="1">
    <format dxfId="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874076-6D0B-4FCA-9D42-9DA85956F08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30:B146" firstHeaderRow="1" firstDataRow="1" firstDataCol="1"/>
  <pivotFields count="20">
    <pivotField showAll="0"/>
    <pivotField showAll="0"/>
    <pivotField showAll="0"/>
    <pivotField showAll="0"/>
    <pivotField axis="axisRow" showAll="0">
      <items count="16">
        <item x="6"/>
        <item x="7"/>
        <item x="12"/>
        <item x="8"/>
        <item x="2"/>
        <item x="10"/>
        <item x="0"/>
        <item x="13"/>
        <item x="1"/>
        <item x="9"/>
        <item x="4"/>
        <item x="14"/>
        <item x="5"/>
        <item x="3"/>
        <item x="11"/>
        <item t="default"/>
      </items>
    </pivotField>
    <pivotField showAll="0">
      <items count="5">
        <item x="2"/>
        <item x="1"/>
        <item x="0"/>
        <item x="3"/>
        <item t="default"/>
      </items>
    </pivotField>
    <pivotField showAll="0">
      <items count="6">
        <item x="2"/>
        <item x="4"/>
        <item x="0"/>
        <item x="1"/>
        <item x="3"/>
        <item t="default"/>
      </items>
    </pivotField>
    <pivotField showAll="0">
      <items count="25">
        <item x="4"/>
        <item x="8"/>
        <item x="3"/>
        <item x="21"/>
        <item x="2"/>
        <item x="20"/>
        <item x="16"/>
        <item x="1"/>
        <item x="15"/>
        <item x="11"/>
        <item x="22"/>
        <item x="23"/>
        <item x="5"/>
        <item x="19"/>
        <item x="14"/>
        <item x="9"/>
        <item x="6"/>
        <item x="12"/>
        <item x="10"/>
        <item x="17"/>
        <item x="0"/>
        <item x="7"/>
        <item x="18"/>
        <item x="13"/>
        <item t="default"/>
      </items>
    </pivotField>
    <pivotField showAll="0">
      <items count="13">
        <item x="11"/>
        <item x="10"/>
        <item x="8"/>
        <item x="3"/>
        <item x="4"/>
        <item x="1"/>
        <item x="5"/>
        <item x="9"/>
        <item x="0"/>
        <item x="2"/>
        <item x="7"/>
        <item x="6"/>
        <item t="default"/>
      </items>
    </pivotField>
    <pivotField showAll="0">
      <items count="6">
        <item x="0"/>
        <item x="1"/>
        <item x="3"/>
        <item x="4"/>
        <item x="2"/>
        <item t="default"/>
      </items>
    </pivotField>
    <pivotField showAll="0">
      <items count="6">
        <item x="1"/>
        <item x="0"/>
        <item x="2"/>
        <item x="3"/>
        <item x="4"/>
        <item t="default"/>
      </items>
    </pivotField>
    <pivotField showAll="0">
      <items count="5">
        <item x="3"/>
        <item x="1"/>
        <item x="2"/>
        <item x="0"/>
        <item t="default"/>
      </items>
    </pivotField>
    <pivotField showAll="0"/>
    <pivotField showAll="0"/>
    <pivotField numFmtId="9" showAll="0"/>
    <pivotField showAll="0"/>
    <pivotField showAll="0"/>
    <pivotField dataField="1" showAll="0"/>
    <pivotField showAll="0"/>
    <pivotField showAll="0"/>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Net_Revenue" fld="17" baseField="0" baseItem="0"/>
  </dataFields>
  <formats count="1">
    <format dxfId="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49D646-6B98-4B66-AF42-4A88D678A5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20">
    <pivotField showAll="0"/>
    <pivotField showAll="0"/>
    <pivotField showAll="0"/>
    <pivotField showAll="0"/>
    <pivotField showAll="0">
      <items count="16">
        <item x="6"/>
        <item x="7"/>
        <item x="12"/>
        <item x="8"/>
        <item x="2"/>
        <item x="10"/>
        <item x="0"/>
        <item x="13"/>
        <item x="1"/>
        <item x="9"/>
        <item x="4"/>
        <item x="14"/>
        <item x="5"/>
        <item x="3"/>
        <item x="11"/>
        <item t="default"/>
      </items>
    </pivotField>
    <pivotField showAll="0"/>
    <pivotField showAll="0">
      <items count="6">
        <item x="2"/>
        <item x="4"/>
        <item x="0"/>
        <item x="1"/>
        <item x="3"/>
        <item t="default"/>
      </items>
    </pivotField>
    <pivotField showAll="0"/>
    <pivotField axis="axisRow" showAll="0">
      <items count="13">
        <item x="11"/>
        <item x="10"/>
        <item x="8"/>
        <item x="3"/>
        <item x="4"/>
        <item x="1"/>
        <item x="5"/>
        <item x="9"/>
        <item x="0"/>
        <item x="2"/>
        <item x="7"/>
        <item x="6"/>
        <item t="default"/>
      </items>
    </pivotField>
    <pivotField showAll="0">
      <items count="6">
        <item x="0"/>
        <item x="1"/>
        <item x="3"/>
        <item x="4"/>
        <item x="2"/>
        <item t="default"/>
      </items>
    </pivotField>
    <pivotField showAll="0">
      <items count="6">
        <item x="1"/>
        <item x="0"/>
        <item x="2"/>
        <item x="3"/>
        <item x="4"/>
        <item t="default"/>
      </items>
    </pivotField>
    <pivotField showAll="0">
      <items count="5">
        <item x="3"/>
        <item x="1"/>
        <item x="2"/>
        <item x="0"/>
        <item t="default"/>
      </items>
    </pivotField>
    <pivotField showAll="0"/>
    <pivotField showAll="0"/>
    <pivotField numFmtId="9" showAll="0"/>
    <pivotField showAll="0"/>
    <pivotField showAll="0"/>
    <pivotField showAll="0"/>
    <pivotField showAll="0"/>
    <pivotField dataField="1" showAll="0"/>
  </pivotFields>
  <rowFields count="1">
    <field x="8"/>
  </rowFields>
  <rowItems count="13">
    <i>
      <x/>
    </i>
    <i>
      <x v="1"/>
    </i>
    <i>
      <x v="2"/>
    </i>
    <i>
      <x v="3"/>
    </i>
    <i>
      <x v="4"/>
    </i>
    <i>
      <x v="5"/>
    </i>
    <i>
      <x v="6"/>
    </i>
    <i>
      <x v="7"/>
    </i>
    <i>
      <x v="8"/>
    </i>
    <i>
      <x v="9"/>
    </i>
    <i>
      <x v="10"/>
    </i>
    <i>
      <x v="11"/>
    </i>
    <i t="grand">
      <x/>
    </i>
  </rowItems>
  <colItems count="1">
    <i/>
  </colItems>
  <dataFields count="1">
    <dataField name="Count of Profit" fld="19" subtotal="count" baseField="0" baseItem="0"/>
  </dataFields>
  <formats count="1">
    <format dxfId="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F3C49F-0042-4D0D-8357-E81D24DF01C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13:B118" firstHeaderRow="1" firstDataRow="1" firstDataCol="1"/>
  <pivotFields count="20">
    <pivotField showAll="0"/>
    <pivotField showAll="0"/>
    <pivotField showAll="0"/>
    <pivotField showAll="0"/>
    <pivotField showAll="0">
      <items count="16">
        <item x="6"/>
        <item x="7"/>
        <item x="12"/>
        <item x="8"/>
        <item x="2"/>
        <item x="10"/>
        <item x="0"/>
        <item x="13"/>
        <item x="1"/>
        <item x="9"/>
        <item x="4"/>
        <item x="14"/>
        <item x="5"/>
        <item x="3"/>
        <item x="11"/>
        <item t="default"/>
      </items>
    </pivotField>
    <pivotField axis="axisRow" showAll="0">
      <items count="5">
        <item x="2"/>
        <item x="1"/>
        <item x="0"/>
        <item x="3"/>
        <item t="default"/>
      </items>
    </pivotField>
    <pivotField showAll="0">
      <items count="6">
        <item x="2"/>
        <item x="4"/>
        <item x="0"/>
        <item x="1"/>
        <item x="3"/>
        <item t="default"/>
      </items>
    </pivotField>
    <pivotField showAll="0">
      <items count="25">
        <item x="4"/>
        <item x="8"/>
        <item x="3"/>
        <item x="21"/>
        <item x="2"/>
        <item x="20"/>
        <item x="16"/>
        <item x="1"/>
        <item x="15"/>
        <item x="11"/>
        <item x="22"/>
        <item x="23"/>
        <item x="5"/>
        <item x="19"/>
        <item x="14"/>
        <item x="9"/>
        <item x="6"/>
        <item x="12"/>
        <item x="10"/>
        <item x="17"/>
        <item x="0"/>
        <item x="7"/>
        <item x="18"/>
        <item x="13"/>
        <item t="default"/>
      </items>
    </pivotField>
    <pivotField showAll="0">
      <items count="13">
        <item x="11"/>
        <item x="10"/>
        <item x="8"/>
        <item x="3"/>
        <item x="4"/>
        <item x="1"/>
        <item x="5"/>
        <item x="9"/>
        <item x="0"/>
        <item x="2"/>
        <item x="7"/>
        <item x="6"/>
        <item t="default"/>
      </items>
    </pivotField>
    <pivotField showAll="0">
      <items count="6">
        <item x="0"/>
        <item x="1"/>
        <item x="3"/>
        <item x="4"/>
        <item x="2"/>
        <item t="default"/>
      </items>
    </pivotField>
    <pivotField showAll="0">
      <items count="6">
        <item x="1"/>
        <item x="0"/>
        <item x="2"/>
        <item x="3"/>
        <item x="4"/>
        <item t="default"/>
      </items>
    </pivotField>
    <pivotField showAll="0">
      <items count="5">
        <item x="3"/>
        <item x="1"/>
        <item x="2"/>
        <item x="0"/>
        <item t="default"/>
      </items>
    </pivotField>
    <pivotField showAll="0"/>
    <pivotField showAll="0"/>
    <pivotField numFmtId="9" showAll="0"/>
    <pivotField showAll="0"/>
    <pivotField showAll="0"/>
    <pivotField dataField="1" showAll="0"/>
    <pivotField showAll="0"/>
    <pivotField showAll="0"/>
  </pivotFields>
  <rowFields count="1">
    <field x="5"/>
  </rowFields>
  <rowItems count="5">
    <i>
      <x/>
    </i>
    <i>
      <x v="1"/>
    </i>
    <i>
      <x v="2"/>
    </i>
    <i>
      <x v="3"/>
    </i>
    <i t="grand">
      <x/>
    </i>
  </rowItems>
  <colItems count="1">
    <i/>
  </colItems>
  <dataFields count="1">
    <dataField name="Sum of Net_Revenue" fld="17" baseField="0" baseItem="0"/>
  </dataFields>
  <formats count="1">
    <format dxfId="9">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6" xr16:uid="{10B31D15-18C8-4F57-AA5C-28368712E76E}" autoFormatId="16" applyNumberFormats="0" applyBorderFormats="0" applyFontFormats="0" applyPatternFormats="0" applyAlignmentFormats="0" applyWidthHeightFormats="0">
  <queryTableRefresh nextId="22">
    <queryTableFields count="19">
      <queryTableField id="2" name="Custom" tableColumnId="2"/>
      <queryTableField id="3" name="Order_Date" tableColumnId="3"/>
      <queryTableField id="5" name="Region" tableColumnId="5"/>
      <queryTableField id="6" name="Country" tableColumnId="6"/>
      <queryTableField id="7" name="Customer_Segment" tableColumnId="7"/>
      <queryTableField id="8" name="Category" tableColumnId="8"/>
      <queryTableField id="9" name="Sub_Category" tableColumnId="9"/>
      <queryTableField id="10" name="Salesperson" tableColumnId="10"/>
      <queryTableField id="11" name="Sales_Channel" tableColumnId="11"/>
      <queryTableField id="12" name="Payment_Method" tableColumnId="12"/>
      <queryTableField id="13" name="Order_Status" tableColumnId="13"/>
      <queryTableField id="14" name="Unit_Price" tableColumnId="14"/>
      <queryTableField id="15" name="Quantity" tableColumnId="15"/>
      <queryTableField id="16" name="Discount_%" tableColumnId="16"/>
      <queryTableField id="17" name="Gross_Revenue" tableColumnId="17"/>
      <queryTableField id="18" name="Discount_Amount" tableColumnId="18"/>
      <queryTableField id="19" name="Net_Revenue" tableColumnId="19"/>
      <queryTableField id="20" name="COGS" tableColumnId="20"/>
      <queryTableField id="21" name="Profit" tableColumnId="21"/>
    </queryTableFields>
    <queryTableDeletedFields count="2">
      <deletedField name="Order_ID"/>
      <deletedField name="Order_Ti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91BF62F-5F62-4B2F-87DF-C0ACD802AAB3}" sourceName="Country">
  <pivotTables>
    <pivotTable tabId="9" name="PivotTable8"/>
    <pivotTable tabId="9" name="PivotTable1"/>
    <pivotTable tabId="9" name="PivotTable10"/>
    <pivotTable tabId="9" name="PivotTable2"/>
    <pivotTable tabId="9" name="PivotTable3"/>
    <pivotTable tabId="9" name="PivotTable4"/>
    <pivotTable tabId="9" name="PivotTable5"/>
    <pivotTable tabId="9" name="PivotTable6"/>
    <pivotTable tabId="9" name="PivotTable7"/>
    <pivotTable tabId="9" name="PivotTable9"/>
  </pivotTables>
  <data>
    <tabular pivotCacheId="1490227813">
      <items count="15">
        <i x="6" s="1"/>
        <i x="7" s="1"/>
        <i x="12" s="1"/>
        <i x="8" s="1"/>
        <i x="2" s="1"/>
        <i x="10" s="1"/>
        <i x="0" s="1"/>
        <i x="13" s="1"/>
        <i x="1" s="1"/>
        <i x="9" s="1"/>
        <i x="4" s="1"/>
        <i x="14" s="1"/>
        <i x="5" s="1"/>
        <i x="3"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57144E2-7636-430A-96C9-05F9DDC62413}" sourceName="Category">
  <pivotTables>
    <pivotTable tabId="9" name="PivotTable8"/>
    <pivotTable tabId="9" name="PivotTable1"/>
    <pivotTable tabId="9" name="PivotTable10"/>
    <pivotTable tabId="9" name="PivotTable2"/>
    <pivotTable tabId="9" name="PivotTable3"/>
    <pivotTable tabId="9" name="PivotTable5"/>
    <pivotTable tabId="9" name="PivotTable6"/>
    <pivotTable tabId="9" name="PivotTable7"/>
    <pivotTable tabId="9" name="PivotTable9"/>
  </pivotTables>
  <data>
    <tabular pivotCacheId="1490227813">
      <items count="5">
        <i x="2" s="1"/>
        <i x="4"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5497D0F5-7F7E-458C-9B03-F2D1B519AB4F}" sourceName="Sales_Channel">
  <pivotTables>
    <pivotTable tabId="9" name="PivotTable8"/>
    <pivotTable tabId="9" name="PivotTable1"/>
    <pivotTable tabId="9" name="PivotTable10"/>
    <pivotTable tabId="9" name="PivotTable2"/>
    <pivotTable tabId="9" name="PivotTable3"/>
    <pivotTable tabId="9" name="PivotTable4"/>
    <pivotTable tabId="9" name="PivotTable5"/>
    <pivotTable tabId="9" name="PivotTable6"/>
    <pivotTable tabId="9" name="PivotTable7"/>
    <pivotTable tabId="9" name="PivotTable9"/>
  </pivotTables>
  <data>
    <tabular pivotCacheId="1490227813">
      <items count="5">
        <i x="0" s="1"/>
        <i x="1" s="1"/>
        <i x="3"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F919CA5-0D87-443F-A7EF-F7999E39E50D}" sourceName="Payment_Method">
  <pivotTables>
    <pivotTable tabId="9" name="PivotTable8"/>
    <pivotTable tabId="9" name="PivotTable1"/>
    <pivotTable tabId="9" name="PivotTable10"/>
    <pivotTable tabId="9" name="PivotTable2"/>
    <pivotTable tabId="9" name="PivotTable3"/>
    <pivotTable tabId="9" name="PivotTable4"/>
    <pivotTable tabId="9" name="PivotTable5"/>
    <pivotTable tabId="9" name="PivotTable6"/>
    <pivotTable tabId="9" name="PivotTable7"/>
    <pivotTable tabId="9" name="PivotTable9"/>
  </pivotTables>
  <data>
    <tabular pivotCacheId="1490227813">
      <items count="5">
        <i x="1" s="1"/>
        <i x="0" s="1"/>
        <i x="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6A99F5EB-BCE6-48E4-BD8D-05EF9CCAB19B}" sourceName="Order_Status">
  <pivotTables>
    <pivotTable tabId="9" name="PivotTable8"/>
    <pivotTable tabId="9" name="PivotTable1"/>
    <pivotTable tabId="9" name="PivotTable10"/>
    <pivotTable tabId="9" name="PivotTable2"/>
    <pivotTable tabId="9" name="PivotTable3"/>
    <pivotTable tabId="9" name="PivotTable4"/>
    <pivotTable tabId="9" name="PivotTable5"/>
    <pivotTable tabId="9" name="PivotTable6"/>
    <pivotTable tabId="9" name="PivotTable7"/>
    <pivotTable tabId="9" name="PivotTable9"/>
  </pivotTables>
  <data>
    <tabular pivotCacheId="1490227813">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9151A6D-1C60-460C-8BCA-1C6D981F98DD}" cache="Slicer_Country" caption="Country" rowHeight="257175"/>
  <slicer name="Category" xr10:uid="{3A8781D3-E0F2-41F7-83B8-60C6EBCDACA5}" cache="Slicer_Category" caption="Category" rowHeight="257175"/>
  <slicer name="Sales_Channel" xr10:uid="{91A70008-5EDC-46A2-B80D-101E8717A12E}" cache="Slicer_Sales_Channel" caption="Sales_Channel" rowHeight="257175"/>
  <slicer name="Payment_Method" xr10:uid="{1363E3E0-938A-4C52-9AD8-101D3BD4A972}" cache="Slicer_Payment_Method" caption="Payment_Method" rowHeight="257175"/>
  <slicer name="Order_Status" xr10:uid="{46B398EF-DFB3-403D-860B-F06F78FE09E2}" cache="Slicer_Order_Status" caption="Order_Status"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E192879-2B8E-47AD-9F09-D27E9743E5D0}" name="Sheet1__3_1_1_1" displayName="Sheet1__3_1_1_1" ref="A1:S1051" tableType="queryTable" totalsRowShown="0">
  <autoFilter ref="A1:S1051" xr:uid="{BE192879-2B8E-47AD-9F09-D27E9743E5D0}"/>
  <tableColumns count="19">
    <tableColumn id="2" xr3:uid="{B6A120D1-7D0E-4E4C-A992-13E6CA8A5742}" uniqueName="2" name="Order_ID2" queryTableFieldId="2"/>
    <tableColumn id="3" xr3:uid="{AB22861D-97F9-46E0-8E47-7CC445A27F41}" uniqueName="3" name="Order_Date" queryTableFieldId="3" dataDxfId="10"/>
    <tableColumn id="5" xr3:uid="{A1383B6F-7EE1-496A-B14A-33032AB954AE}" uniqueName="5" name="Region" queryTableFieldId="5"/>
    <tableColumn id="6" xr3:uid="{47352DA8-02CB-4786-9482-101F5FE47030}" uniqueName="6" name="Country" queryTableFieldId="6"/>
    <tableColumn id="7" xr3:uid="{1049413E-5C64-4F36-A238-A55283B51F5A}" uniqueName="7" name="Customer_Segment" queryTableFieldId="7"/>
    <tableColumn id="8" xr3:uid="{5820A2B8-2063-4125-BA64-E21432965950}" uniqueName="8" name="Category" queryTableFieldId="8"/>
    <tableColumn id="9" xr3:uid="{6FD0DDCB-3E76-4BF8-AA2D-91BC97CDE2B8}" uniqueName="9" name="Sub_Category" queryTableFieldId="9"/>
    <tableColumn id="10" xr3:uid="{2CF47E41-24D0-4835-9CBA-FC9F383A35AC}" uniqueName="10" name="Salesperson" queryTableFieldId="10"/>
    <tableColumn id="11" xr3:uid="{645DB8BC-F043-4537-B179-7CF88CF1D1AA}" uniqueName="11" name="Sales_Channel" queryTableFieldId="11"/>
    <tableColumn id="12" xr3:uid="{E841690F-F24A-4011-BC83-87C47A53CB0A}" uniqueName="12" name="Payment_Method" queryTableFieldId="12"/>
    <tableColumn id="13" xr3:uid="{870703AC-B98B-4646-987A-6C22DEF1569D}" uniqueName="13" name="Order_Status" queryTableFieldId="13"/>
    <tableColumn id="14" xr3:uid="{758F4A95-904B-45E7-B08A-70F5B97EB829}" uniqueName="14" name="Unit_Price" queryTableFieldId="14"/>
    <tableColumn id="15" xr3:uid="{ABB2C71D-6781-410B-88AE-25D33A207596}" uniqueName="15" name="Quantity" queryTableFieldId="15"/>
    <tableColumn id="16" xr3:uid="{1FD48D0B-9B64-4D04-853B-49380FEF8B92}" uniqueName="16" name="Discount_%" queryTableFieldId="16" dataCellStyle="Percent"/>
    <tableColumn id="17" xr3:uid="{BE886791-5A86-4D49-A833-D7156EBFF161}" uniqueName="17" name="Gross_Revenue" queryTableFieldId="17"/>
    <tableColumn id="18" xr3:uid="{131F1A17-DB0C-4801-A993-C24901684ED7}" uniqueName="18" name="Discount_Amount" queryTableFieldId="18"/>
    <tableColumn id="19" xr3:uid="{F76CF650-8C3F-4EBD-A32D-B0029CFB714C}" uniqueName="19" name="Net_Revenue" queryTableFieldId="19"/>
    <tableColumn id="20" xr3:uid="{25F1FD8A-0D64-421A-9C5F-0B92ABA9E862}" uniqueName="20" name="COGS" queryTableFieldId="20"/>
    <tableColumn id="21" xr3:uid="{B9446203-3673-4D8C-BFAB-6B9BECEB1720}" uniqueName="21" name="Profit" queryTableField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2BF0-2C07-4DFE-8938-ED344F2907EE}">
  <dimension ref="A1:T1051"/>
  <sheetViews>
    <sheetView workbookViewId="0">
      <selection activeCell="E14" sqref="E14"/>
    </sheetView>
  </sheetViews>
  <sheetFormatPr defaultRowHeight="15" x14ac:dyDescent="0.25"/>
  <cols>
    <col min="1" max="1" width="10.5703125" bestFit="1" customWidth="1"/>
    <col min="2" max="2" width="13.5703125" style="1" bestFit="1" customWidth="1"/>
    <col min="3" max="3" width="9.5703125" bestFit="1" customWidth="1"/>
    <col min="4" max="4" width="14.42578125" bestFit="1" customWidth="1"/>
    <col min="5" max="5" width="21.42578125" bestFit="1" customWidth="1"/>
    <col min="6" max="6" width="16.5703125" bestFit="1" customWidth="1"/>
    <col min="7" max="7" width="15.85546875" bestFit="1" customWidth="1"/>
    <col min="8" max="8" width="19.140625" bestFit="1" customWidth="1"/>
    <col min="9" max="9" width="16.7109375" bestFit="1" customWidth="1"/>
    <col min="10" max="10" width="19" bestFit="1" customWidth="1"/>
    <col min="11" max="11" width="15" bestFit="1" customWidth="1"/>
    <col min="12" max="12" width="12.42578125" bestFit="1" customWidth="1"/>
    <col min="13" max="13" width="11" bestFit="1" customWidth="1"/>
    <col min="14" max="14" width="13.85546875" style="2" bestFit="1" customWidth="1"/>
    <col min="15" max="15" width="17.5703125" bestFit="1" customWidth="1"/>
    <col min="16" max="16" width="19.5703125" bestFit="1" customWidth="1"/>
    <col min="17" max="17" width="15.5703125" bestFit="1" customWidth="1"/>
    <col min="18" max="18" width="8.7109375" bestFit="1" customWidth="1"/>
    <col min="19" max="19" width="10" bestFit="1" customWidth="1"/>
    <col min="20" max="20" width="13.5703125" bestFit="1" customWidth="1"/>
  </cols>
  <sheetData>
    <row r="1" spans="1:20" x14ac:dyDescent="0.25">
      <c r="A1" t="s">
        <v>1148</v>
      </c>
      <c r="B1" s="1" t="s">
        <v>0</v>
      </c>
      <c r="C1" t="s">
        <v>1</v>
      </c>
      <c r="D1" t="s">
        <v>2</v>
      </c>
      <c r="E1" t="s">
        <v>3</v>
      </c>
      <c r="F1" t="s">
        <v>4</v>
      </c>
      <c r="G1" t="s">
        <v>5</v>
      </c>
      <c r="H1" t="s">
        <v>6</v>
      </c>
      <c r="I1" t="s">
        <v>7</v>
      </c>
      <c r="J1" t="s">
        <v>8</v>
      </c>
      <c r="K1" t="s">
        <v>9</v>
      </c>
      <c r="L1" t="s">
        <v>10</v>
      </c>
      <c r="M1" t="s">
        <v>11</v>
      </c>
      <c r="N1" s="2" t="s">
        <v>12</v>
      </c>
      <c r="O1" t="s">
        <v>13</v>
      </c>
      <c r="P1" t="s">
        <v>14</v>
      </c>
      <c r="Q1" t="s">
        <v>15</v>
      </c>
      <c r="R1" t="s">
        <v>16</v>
      </c>
      <c r="S1" t="s">
        <v>17</v>
      </c>
      <c r="T1" t="s">
        <v>0</v>
      </c>
    </row>
    <row r="2" spans="1:20" x14ac:dyDescent="0.25">
      <c r="A2" t="s">
        <v>18</v>
      </c>
      <c r="B2" s="1">
        <v>45038</v>
      </c>
      <c r="C2" t="s">
        <v>19</v>
      </c>
      <c r="D2" t="s">
        <v>20</v>
      </c>
      <c r="E2" t="s">
        <v>21</v>
      </c>
      <c r="F2" t="s">
        <v>22</v>
      </c>
      <c r="G2" t="s">
        <v>23</v>
      </c>
      <c r="H2" t="s">
        <v>24</v>
      </c>
      <c r="I2" t="s">
        <v>25</v>
      </c>
      <c r="J2" t="s">
        <v>26</v>
      </c>
      <c r="K2" t="s">
        <v>27</v>
      </c>
      <c r="L2">
        <v>16.579999999999998</v>
      </c>
      <c r="M2">
        <v>14</v>
      </c>
      <c r="N2" s="2">
        <v>0.15</v>
      </c>
      <c r="O2">
        <v>232.11999999999998</v>
      </c>
      <c r="P2">
        <v>34.817999999999998</v>
      </c>
      <c r="Q2">
        <f>Sheet1__3_1_1_1[[#This Row],[Gross_Revenue]]-Sheet1__3_1_1_1[[#This Row],[Discount_Amount]]</f>
        <v>197.30199999999996</v>
      </c>
      <c r="R2">
        <v>108.52</v>
      </c>
      <c r="S2">
        <f>Sheet1__3_1_1_1[[#This Row],[Net_Revenue]]-Sheet1__3_1_1_1[[#This Row],[COGS]]</f>
        <v>88.781999999999968</v>
      </c>
    </row>
    <row r="3" spans="1:20" x14ac:dyDescent="0.25">
      <c r="A3" t="s">
        <v>28</v>
      </c>
      <c r="B3" s="1">
        <v>45260</v>
      </c>
      <c r="C3" t="s">
        <v>29</v>
      </c>
      <c r="D3" t="s">
        <v>30</v>
      </c>
      <c r="E3" t="s">
        <v>21</v>
      </c>
      <c r="F3" t="s">
        <v>31</v>
      </c>
      <c r="G3" t="s">
        <v>32</v>
      </c>
      <c r="H3" t="s">
        <v>33</v>
      </c>
      <c r="I3" t="s">
        <v>34</v>
      </c>
      <c r="J3" t="s">
        <v>35</v>
      </c>
      <c r="K3" t="s">
        <v>36</v>
      </c>
      <c r="L3">
        <v>431.34</v>
      </c>
      <c r="M3">
        <v>5</v>
      </c>
      <c r="N3" s="2">
        <v>0.05</v>
      </c>
      <c r="O3">
        <v>2156.6999999999998</v>
      </c>
      <c r="P3">
        <v>107.83499999999999</v>
      </c>
      <c r="Q3">
        <f>Sheet1__3_1_1_1[[#This Row],[Gross_Revenue]]-Sheet1__3_1_1_1[[#This Row],[Discount_Amount]]</f>
        <v>2048.8649999999998</v>
      </c>
      <c r="R3">
        <v>983.46</v>
      </c>
      <c r="S3">
        <f>Sheet1__3_1_1_1[[#This Row],[Net_Revenue]]-Sheet1__3_1_1_1[[#This Row],[COGS]]</f>
        <v>1065.4049999999997</v>
      </c>
    </row>
    <row r="4" spans="1:20" x14ac:dyDescent="0.25">
      <c r="A4" t="s">
        <v>37</v>
      </c>
      <c r="B4" s="1">
        <v>45000</v>
      </c>
      <c r="C4" t="s">
        <v>29</v>
      </c>
      <c r="D4" t="s">
        <v>38</v>
      </c>
      <c r="E4" t="s">
        <v>39</v>
      </c>
      <c r="F4" t="s">
        <v>31</v>
      </c>
      <c r="G4" t="s">
        <v>40</v>
      </c>
      <c r="H4" t="s">
        <v>41</v>
      </c>
      <c r="I4" t="s">
        <v>42</v>
      </c>
      <c r="J4" t="s">
        <v>35</v>
      </c>
      <c r="K4" t="s">
        <v>36</v>
      </c>
      <c r="L4">
        <v>244.55</v>
      </c>
      <c r="M4">
        <v>1</v>
      </c>
      <c r="N4" s="2">
        <v>0.05</v>
      </c>
      <c r="O4">
        <v>244.55</v>
      </c>
      <c r="P4">
        <v>12.227500000000001</v>
      </c>
      <c r="Q4">
        <f>Sheet1__3_1_1_1[[#This Row],[Gross_Revenue]]-Sheet1__3_1_1_1[[#This Row],[Discount_Amount]]</f>
        <v>232.32250000000002</v>
      </c>
      <c r="R4">
        <v>111.51</v>
      </c>
      <c r="S4">
        <f>Sheet1__3_1_1_1[[#This Row],[Net_Revenue]]-Sheet1__3_1_1_1[[#This Row],[COGS]]</f>
        <v>120.81250000000001</v>
      </c>
    </row>
    <row r="5" spans="1:20" x14ac:dyDescent="0.25">
      <c r="A5" t="s">
        <v>43</v>
      </c>
      <c r="B5" s="1">
        <v>44619</v>
      </c>
      <c r="C5" t="s">
        <v>44</v>
      </c>
      <c r="D5" t="s">
        <v>45</v>
      </c>
      <c r="E5" t="s">
        <v>21</v>
      </c>
      <c r="F5" t="s">
        <v>22</v>
      </c>
      <c r="G5" t="s">
        <v>46</v>
      </c>
      <c r="H5" t="s">
        <v>47</v>
      </c>
      <c r="I5" t="s">
        <v>48</v>
      </c>
      <c r="J5" t="s">
        <v>49</v>
      </c>
      <c r="K5" t="s">
        <v>36</v>
      </c>
      <c r="L5">
        <v>21.06</v>
      </c>
      <c r="M5">
        <v>29</v>
      </c>
      <c r="N5" s="2">
        <v>0.2</v>
      </c>
      <c r="O5">
        <v>610.74</v>
      </c>
      <c r="P5">
        <v>122.14800000000001</v>
      </c>
      <c r="Q5">
        <f>Sheet1__3_1_1_1[[#This Row],[Gross_Revenue]]-Sheet1__3_1_1_1[[#This Row],[Discount_Amount]]</f>
        <v>488.59199999999998</v>
      </c>
      <c r="R5">
        <v>268.72000000000003</v>
      </c>
      <c r="S5">
        <f>Sheet1__3_1_1_1[[#This Row],[Net_Revenue]]-Sheet1__3_1_1_1[[#This Row],[COGS]]</f>
        <v>219.87199999999996</v>
      </c>
    </row>
    <row r="6" spans="1:20" x14ac:dyDescent="0.25">
      <c r="A6" t="s">
        <v>50</v>
      </c>
      <c r="B6" s="1">
        <v>45041</v>
      </c>
      <c r="C6" t="s">
        <v>44</v>
      </c>
      <c r="D6" t="s">
        <v>51</v>
      </c>
      <c r="E6" t="s">
        <v>39</v>
      </c>
      <c r="F6" t="s">
        <v>31</v>
      </c>
      <c r="G6" t="s">
        <v>40</v>
      </c>
      <c r="H6" t="s">
        <v>52</v>
      </c>
      <c r="I6" t="s">
        <v>25</v>
      </c>
      <c r="J6" t="s">
        <v>26</v>
      </c>
      <c r="K6" t="s">
        <v>53</v>
      </c>
      <c r="L6">
        <v>265.26</v>
      </c>
      <c r="M6">
        <v>3</v>
      </c>
      <c r="N6" s="2">
        <v>0.15</v>
      </c>
      <c r="O6">
        <v>795.78</v>
      </c>
      <c r="P6">
        <v>119.36699999999999</v>
      </c>
      <c r="Q6">
        <f>Sheet1__3_1_1_1[[#This Row],[Gross_Revenue]]-Sheet1__3_1_1_1[[#This Row],[Discount_Amount]]</f>
        <v>676.41300000000001</v>
      </c>
      <c r="R6">
        <v>324.68</v>
      </c>
      <c r="S6">
        <f>Sheet1__3_1_1_1[[#This Row],[Net_Revenue]]-Sheet1__3_1_1_1[[#This Row],[COGS]]</f>
        <v>351.733</v>
      </c>
    </row>
    <row r="7" spans="1:20" x14ac:dyDescent="0.25">
      <c r="A7" t="s">
        <v>54</v>
      </c>
      <c r="B7" s="1">
        <v>45114</v>
      </c>
      <c r="C7" t="s">
        <v>44</v>
      </c>
      <c r="D7" t="s">
        <v>45</v>
      </c>
      <c r="E7" t="s">
        <v>21</v>
      </c>
      <c r="F7" t="s">
        <v>55</v>
      </c>
      <c r="G7" t="s">
        <v>56</v>
      </c>
      <c r="H7" t="s">
        <v>57</v>
      </c>
      <c r="I7" t="s">
        <v>48</v>
      </c>
      <c r="J7" t="s">
        <v>49</v>
      </c>
      <c r="K7" t="s">
        <v>53</v>
      </c>
      <c r="L7">
        <v>47.15</v>
      </c>
      <c r="M7">
        <v>7</v>
      </c>
      <c r="N7" s="2">
        <v>0.1</v>
      </c>
      <c r="O7">
        <v>330.05</v>
      </c>
      <c r="P7">
        <v>33.005000000000003</v>
      </c>
      <c r="Q7">
        <f>Sheet1__3_1_1_1[[#This Row],[Gross_Revenue]]-Sheet1__3_1_1_1[[#This Row],[Discount_Amount]]</f>
        <v>297.04500000000002</v>
      </c>
      <c r="R7">
        <v>124.76</v>
      </c>
      <c r="S7">
        <f>Sheet1__3_1_1_1[[#This Row],[Net_Revenue]]-Sheet1__3_1_1_1[[#This Row],[COGS]]</f>
        <v>172.28500000000003</v>
      </c>
    </row>
    <row r="8" spans="1:20" x14ac:dyDescent="0.25">
      <c r="A8" t="s">
        <v>58</v>
      </c>
      <c r="B8" s="1">
        <v>45012</v>
      </c>
      <c r="C8" t="s">
        <v>29</v>
      </c>
      <c r="D8" t="s">
        <v>38</v>
      </c>
      <c r="E8" t="s">
        <v>21</v>
      </c>
      <c r="F8" t="s">
        <v>31</v>
      </c>
      <c r="G8" t="s">
        <v>40</v>
      </c>
      <c r="H8" t="s">
        <v>59</v>
      </c>
      <c r="I8" t="s">
        <v>60</v>
      </c>
      <c r="J8" t="s">
        <v>49</v>
      </c>
      <c r="K8" t="s">
        <v>53</v>
      </c>
      <c r="L8">
        <v>201.39</v>
      </c>
      <c r="M8">
        <v>8</v>
      </c>
      <c r="N8" s="2">
        <v>0.05</v>
      </c>
      <c r="O8">
        <v>1611.12</v>
      </c>
      <c r="P8">
        <v>80.555999999999997</v>
      </c>
      <c r="Q8">
        <f>Sheet1__3_1_1_1[[#This Row],[Gross_Revenue]]-Sheet1__3_1_1_1[[#This Row],[Discount_Amount]]</f>
        <v>1530.5639999999999</v>
      </c>
      <c r="R8">
        <v>734.67</v>
      </c>
      <c r="S8">
        <f>Sheet1__3_1_1_1[[#This Row],[Net_Revenue]]-Sheet1__3_1_1_1[[#This Row],[COGS]]</f>
        <v>795.89399999999989</v>
      </c>
    </row>
    <row r="9" spans="1:20" x14ac:dyDescent="0.25">
      <c r="A9" t="s">
        <v>61</v>
      </c>
      <c r="B9" s="1">
        <v>44992</v>
      </c>
      <c r="C9" t="s">
        <v>29</v>
      </c>
      <c r="D9" t="s">
        <v>62</v>
      </c>
      <c r="E9" t="s">
        <v>63</v>
      </c>
      <c r="F9" t="s">
        <v>22</v>
      </c>
      <c r="G9" t="s">
        <v>46</v>
      </c>
      <c r="H9" t="s">
        <v>33</v>
      </c>
      <c r="I9" t="s">
        <v>48</v>
      </c>
      <c r="J9" t="s">
        <v>35</v>
      </c>
      <c r="K9" t="s">
        <v>53</v>
      </c>
      <c r="L9">
        <v>18.98</v>
      </c>
      <c r="M9">
        <v>20</v>
      </c>
      <c r="N9" s="2">
        <v>0</v>
      </c>
      <c r="O9">
        <v>379.6</v>
      </c>
      <c r="P9">
        <v>0</v>
      </c>
      <c r="Q9">
        <f>Sheet1__3_1_1_1[[#This Row],[Gross_Revenue]]-Sheet1__3_1_1_1[[#This Row],[Discount_Amount]]</f>
        <v>379.6</v>
      </c>
      <c r="R9">
        <v>208.78</v>
      </c>
      <c r="S9">
        <f>Sheet1__3_1_1_1[[#This Row],[Net_Revenue]]-Sheet1__3_1_1_1[[#This Row],[COGS]]</f>
        <v>170.82000000000002</v>
      </c>
    </row>
    <row r="10" spans="1:20" x14ac:dyDescent="0.25">
      <c r="A10" t="s">
        <v>64</v>
      </c>
      <c r="B10" s="1">
        <v>45163</v>
      </c>
      <c r="C10" t="s">
        <v>44</v>
      </c>
      <c r="D10" t="s">
        <v>65</v>
      </c>
      <c r="E10" t="s">
        <v>66</v>
      </c>
      <c r="F10" t="s">
        <v>55</v>
      </c>
      <c r="G10" t="s">
        <v>67</v>
      </c>
      <c r="H10" t="s">
        <v>41</v>
      </c>
      <c r="I10" t="s">
        <v>42</v>
      </c>
      <c r="J10" t="s">
        <v>49</v>
      </c>
      <c r="K10" t="s">
        <v>36</v>
      </c>
      <c r="L10">
        <v>86.44</v>
      </c>
      <c r="M10">
        <v>2</v>
      </c>
      <c r="N10" s="2">
        <v>0.15</v>
      </c>
      <c r="O10">
        <v>172.88</v>
      </c>
      <c r="P10">
        <v>25.931999999999999</v>
      </c>
      <c r="Q10">
        <f>Sheet1__3_1_1_1[[#This Row],[Gross_Revenue]]-Sheet1__3_1_1_1[[#This Row],[Discount_Amount]]</f>
        <v>146.94800000000001</v>
      </c>
      <c r="R10">
        <v>61.72</v>
      </c>
      <c r="S10">
        <f>Sheet1__3_1_1_1[[#This Row],[Net_Revenue]]-Sheet1__3_1_1_1[[#This Row],[COGS]]</f>
        <v>85.228000000000009</v>
      </c>
    </row>
    <row r="11" spans="1:20" x14ac:dyDescent="0.25">
      <c r="A11" t="s">
        <v>68</v>
      </c>
      <c r="B11" s="1">
        <v>44887</v>
      </c>
      <c r="C11" t="s">
        <v>19</v>
      </c>
      <c r="D11" t="s">
        <v>20</v>
      </c>
      <c r="E11" t="s">
        <v>66</v>
      </c>
      <c r="F11" t="s">
        <v>69</v>
      </c>
      <c r="G11" t="s">
        <v>70</v>
      </c>
      <c r="H11" t="s">
        <v>71</v>
      </c>
      <c r="I11" t="s">
        <v>60</v>
      </c>
      <c r="J11" t="s">
        <v>26</v>
      </c>
      <c r="K11" t="s">
        <v>36</v>
      </c>
      <c r="L11" t="s">
        <v>1147</v>
      </c>
      <c r="M11">
        <v>20</v>
      </c>
      <c r="N11" s="2">
        <v>0</v>
      </c>
      <c r="O11">
        <v>0</v>
      </c>
      <c r="P11">
        <v>0</v>
      </c>
      <c r="Q11">
        <f>Sheet1__3_1_1_1[[#This Row],[Gross_Revenue]]-Sheet1__3_1_1_1[[#This Row],[Discount_Amount]]</f>
        <v>0</v>
      </c>
      <c r="R11" t="s">
        <v>1147</v>
      </c>
      <c r="S11" t="e">
        <f>Sheet1__3_1_1_1[[#This Row],[Net_Revenue]]-Sheet1__3_1_1_1[[#This Row],[COGS]]</f>
        <v>#VALUE!</v>
      </c>
    </row>
    <row r="12" spans="1:20" x14ac:dyDescent="0.25">
      <c r="A12" t="s">
        <v>72</v>
      </c>
      <c r="B12" s="1">
        <v>44933</v>
      </c>
      <c r="C12" t="s">
        <v>29</v>
      </c>
      <c r="D12" t="s">
        <v>62</v>
      </c>
      <c r="E12" t="s">
        <v>21</v>
      </c>
      <c r="F12" t="s">
        <v>69</v>
      </c>
      <c r="G12" t="s">
        <v>73</v>
      </c>
      <c r="H12" t="s">
        <v>52</v>
      </c>
      <c r="I12" t="s">
        <v>42</v>
      </c>
      <c r="J12" t="s">
        <v>49</v>
      </c>
      <c r="K12" t="s">
        <v>53</v>
      </c>
      <c r="L12">
        <v>11.11</v>
      </c>
      <c r="M12">
        <v>4</v>
      </c>
      <c r="N12" s="2">
        <v>0.2</v>
      </c>
      <c r="O12">
        <v>44.44</v>
      </c>
      <c r="P12">
        <v>8.8879999999999999</v>
      </c>
      <c r="Q12">
        <f>Sheet1__3_1_1_1[[#This Row],[Gross_Revenue]]-Sheet1__3_1_1_1[[#This Row],[Discount_Amount]]</f>
        <v>35.552</v>
      </c>
      <c r="R12">
        <v>13.51</v>
      </c>
      <c r="S12">
        <f>Sheet1__3_1_1_1[[#This Row],[Net_Revenue]]-Sheet1__3_1_1_1[[#This Row],[COGS]]</f>
        <v>22.042000000000002</v>
      </c>
    </row>
    <row r="13" spans="1:20" x14ac:dyDescent="0.25">
      <c r="A13" t="s">
        <v>74</v>
      </c>
      <c r="B13" s="1">
        <v>44991</v>
      </c>
      <c r="C13" t="s">
        <v>44</v>
      </c>
      <c r="D13" t="s">
        <v>51</v>
      </c>
      <c r="E13" t="s">
        <v>39</v>
      </c>
      <c r="F13" t="s">
        <v>22</v>
      </c>
      <c r="G13" t="s">
        <v>75</v>
      </c>
      <c r="H13" t="s">
        <v>59</v>
      </c>
      <c r="I13" t="s">
        <v>25</v>
      </c>
      <c r="J13" t="s">
        <v>35</v>
      </c>
      <c r="K13" t="s">
        <v>36</v>
      </c>
      <c r="L13">
        <v>10.44</v>
      </c>
      <c r="M13">
        <v>13</v>
      </c>
      <c r="N13" s="2">
        <v>0</v>
      </c>
      <c r="O13">
        <v>135.72</v>
      </c>
      <c r="P13">
        <v>0</v>
      </c>
      <c r="Q13">
        <f>Sheet1__3_1_1_1[[#This Row],[Gross_Revenue]]-Sheet1__3_1_1_1[[#This Row],[Discount_Amount]]</f>
        <v>135.72</v>
      </c>
      <c r="R13">
        <v>74.650000000000006</v>
      </c>
      <c r="S13">
        <f>Sheet1__3_1_1_1[[#This Row],[Net_Revenue]]-Sheet1__3_1_1_1[[#This Row],[COGS]]</f>
        <v>61.069999999999993</v>
      </c>
    </row>
    <row r="14" spans="1:20" x14ac:dyDescent="0.25">
      <c r="A14" t="s">
        <v>76</v>
      </c>
      <c r="B14" s="1">
        <v>44741</v>
      </c>
      <c r="C14" t="s">
        <v>77</v>
      </c>
      <c r="D14" t="s">
        <v>78</v>
      </c>
      <c r="E14" t="s">
        <v>63</v>
      </c>
      <c r="F14" t="s">
        <v>79</v>
      </c>
      <c r="G14" t="s">
        <v>80</v>
      </c>
      <c r="H14" t="s">
        <v>52</v>
      </c>
      <c r="I14" t="s">
        <v>48</v>
      </c>
      <c r="J14" t="s">
        <v>26</v>
      </c>
      <c r="K14" t="s">
        <v>36</v>
      </c>
      <c r="L14">
        <v>698.15</v>
      </c>
      <c r="M14">
        <v>4</v>
      </c>
      <c r="N14" s="2">
        <v>0.1</v>
      </c>
      <c r="O14">
        <v>2792.6</v>
      </c>
      <c r="P14">
        <v>279.26</v>
      </c>
      <c r="Q14">
        <f>Sheet1__3_1_1_1[[#This Row],[Gross_Revenue]]-Sheet1__3_1_1_1[[#This Row],[Discount_Amount]]</f>
        <v>2513.34</v>
      </c>
      <c r="R14">
        <v>1558.27</v>
      </c>
      <c r="S14">
        <f>Sheet1__3_1_1_1[[#This Row],[Net_Revenue]]-Sheet1__3_1_1_1[[#This Row],[COGS]]</f>
        <v>955.07000000000016</v>
      </c>
    </row>
    <row r="15" spans="1:20" x14ac:dyDescent="0.25">
      <c r="A15" t="s">
        <v>81</v>
      </c>
      <c r="B15" s="1">
        <v>44962</v>
      </c>
      <c r="C15" t="s">
        <v>77</v>
      </c>
      <c r="D15" t="s">
        <v>82</v>
      </c>
      <c r="E15" t="s">
        <v>63</v>
      </c>
      <c r="F15" t="s">
        <v>55</v>
      </c>
      <c r="G15" t="s">
        <v>83</v>
      </c>
      <c r="H15" t="s">
        <v>47</v>
      </c>
      <c r="I15" t="s">
        <v>25</v>
      </c>
      <c r="J15" t="s">
        <v>35</v>
      </c>
      <c r="K15" t="s">
        <v>53</v>
      </c>
      <c r="L15">
        <v>53.98</v>
      </c>
      <c r="M15">
        <v>8</v>
      </c>
      <c r="N15" s="2">
        <v>0.15</v>
      </c>
      <c r="O15">
        <v>431.84</v>
      </c>
      <c r="P15">
        <v>64.775999999999996</v>
      </c>
      <c r="Q15">
        <f>Sheet1__3_1_1_1[[#This Row],[Gross_Revenue]]-Sheet1__3_1_1_1[[#This Row],[Discount_Amount]]</f>
        <v>367.06399999999996</v>
      </c>
      <c r="R15">
        <v>154.16999999999999</v>
      </c>
      <c r="S15">
        <f>Sheet1__3_1_1_1[[#This Row],[Net_Revenue]]-Sheet1__3_1_1_1[[#This Row],[COGS]]</f>
        <v>212.89399999999998</v>
      </c>
    </row>
    <row r="16" spans="1:20" x14ac:dyDescent="0.25">
      <c r="A16" t="s">
        <v>84</v>
      </c>
      <c r="B16" s="1">
        <v>45205</v>
      </c>
      <c r="C16" t="s">
        <v>29</v>
      </c>
      <c r="D16" t="s">
        <v>62</v>
      </c>
      <c r="E16" t="s">
        <v>21</v>
      </c>
      <c r="F16" t="s">
        <v>79</v>
      </c>
      <c r="G16" t="s">
        <v>85</v>
      </c>
      <c r="H16" t="s">
        <v>24</v>
      </c>
      <c r="I16" t="s">
        <v>34</v>
      </c>
      <c r="J16" t="s">
        <v>49</v>
      </c>
      <c r="K16" t="s">
        <v>36</v>
      </c>
      <c r="L16">
        <v>1012.38</v>
      </c>
      <c r="M16">
        <v>6</v>
      </c>
      <c r="N16" s="2">
        <v>0</v>
      </c>
      <c r="O16">
        <v>6074.28</v>
      </c>
      <c r="P16">
        <v>0</v>
      </c>
      <c r="Q16">
        <f>Sheet1__3_1_1_1[[#This Row],[Gross_Revenue]]-Sheet1__3_1_1_1[[#This Row],[Discount_Amount]]</f>
        <v>6074.28</v>
      </c>
      <c r="R16">
        <v>3766.05</v>
      </c>
      <c r="S16">
        <f>Sheet1__3_1_1_1[[#This Row],[Net_Revenue]]-Sheet1__3_1_1_1[[#This Row],[COGS]]</f>
        <v>2308.2299999999996</v>
      </c>
    </row>
    <row r="17" spans="1:19" x14ac:dyDescent="0.25">
      <c r="A17" t="s">
        <v>86</v>
      </c>
      <c r="B17" s="1">
        <v>44859</v>
      </c>
      <c r="C17" t="s">
        <v>19</v>
      </c>
      <c r="D17" t="s">
        <v>20</v>
      </c>
      <c r="E17" t="s">
        <v>63</v>
      </c>
      <c r="F17" t="s">
        <v>69</v>
      </c>
      <c r="G17" t="s">
        <v>70</v>
      </c>
      <c r="H17" t="s">
        <v>87</v>
      </c>
      <c r="I17" t="s">
        <v>34</v>
      </c>
      <c r="J17" t="s">
        <v>49</v>
      </c>
      <c r="K17" t="s">
        <v>36</v>
      </c>
      <c r="L17">
        <v>381.06</v>
      </c>
      <c r="M17">
        <v>22</v>
      </c>
      <c r="N17" s="2">
        <v>0.15</v>
      </c>
      <c r="O17">
        <v>8383.32</v>
      </c>
      <c r="P17">
        <v>1257.4979999999998</v>
      </c>
      <c r="Q17">
        <f>Sheet1__3_1_1_1[[#This Row],[Gross_Revenue]]-Sheet1__3_1_1_1[[#This Row],[Discount_Amount]]</f>
        <v>7125.8220000000001</v>
      </c>
      <c r="R17">
        <v>2707.81</v>
      </c>
      <c r="S17">
        <f>Sheet1__3_1_1_1[[#This Row],[Net_Revenue]]-Sheet1__3_1_1_1[[#This Row],[COGS]]</f>
        <v>4418.0120000000006</v>
      </c>
    </row>
    <row r="18" spans="1:19" x14ac:dyDescent="0.25">
      <c r="A18" t="s">
        <v>88</v>
      </c>
      <c r="B18" s="1">
        <v>45114</v>
      </c>
      <c r="C18" t="s">
        <v>29</v>
      </c>
      <c r="D18" t="s">
        <v>62</v>
      </c>
      <c r="E18" t="s">
        <v>66</v>
      </c>
      <c r="F18" t="s">
        <v>31</v>
      </c>
      <c r="G18" t="s">
        <v>32</v>
      </c>
      <c r="H18" t="s">
        <v>33</v>
      </c>
      <c r="I18" t="s">
        <v>25</v>
      </c>
      <c r="J18" t="s">
        <v>89</v>
      </c>
      <c r="K18" t="s">
        <v>36</v>
      </c>
      <c r="L18">
        <v>390.24</v>
      </c>
      <c r="M18">
        <v>1</v>
      </c>
      <c r="N18" s="2">
        <v>0</v>
      </c>
      <c r="O18">
        <v>390.24</v>
      </c>
      <c r="P18">
        <v>0</v>
      </c>
      <c r="Q18">
        <f>Sheet1__3_1_1_1[[#This Row],[Gross_Revenue]]-Sheet1__3_1_1_1[[#This Row],[Discount_Amount]]</f>
        <v>390.24</v>
      </c>
      <c r="R18">
        <v>187.32</v>
      </c>
      <c r="S18">
        <f>Sheet1__3_1_1_1[[#This Row],[Net_Revenue]]-Sheet1__3_1_1_1[[#This Row],[COGS]]</f>
        <v>202.92000000000002</v>
      </c>
    </row>
    <row r="19" spans="1:19" x14ac:dyDescent="0.25">
      <c r="A19" t="s">
        <v>90</v>
      </c>
      <c r="B19" s="1">
        <v>44637</v>
      </c>
      <c r="C19" t="s">
        <v>19</v>
      </c>
      <c r="D19" t="s">
        <v>91</v>
      </c>
      <c r="E19" t="s">
        <v>21</v>
      </c>
      <c r="F19" t="s">
        <v>55</v>
      </c>
      <c r="G19" t="s">
        <v>67</v>
      </c>
      <c r="H19" t="s">
        <v>87</v>
      </c>
      <c r="I19" t="s">
        <v>34</v>
      </c>
      <c r="J19" t="s">
        <v>89</v>
      </c>
      <c r="K19" t="s">
        <v>36</v>
      </c>
      <c r="L19">
        <v>76.13</v>
      </c>
      <c r="M19">
        <v>8</v>
      </c>
      <c r="N19" s="2">
        <v>0.15</v>
      </c>
      <c r="O19">
        <v>609.04</v>
      </c>
      <c r="P19">
        <v>91.355999999999995</v>
      </c>
      <c r="Q19">
        <f>Sheet1__3_1_1_1[[#This Row],[Gross_Revenue]]-Sheet1__3_1_1_1[[#This Row],[Discount_Amount]]</f>
        <v>517.68399999999997</v>
      </c>
      <c r="R19">
        <v>217.43</v>
      </c>
      <c r="S19">
        <f>Sheet1__3_1_1_1[[#This Row],[Net_Revenue]]-Sheet1__3_1_1_1[[#This Row],[COGS]]</f>
        <v>300.25399999999996</v>
      </c>
    </row>
    <row r="20" spans="1:19" x14ac:dyDescent="0.25">
      <c r="A20" t="s">
        <v>92</v>
      </c>
      <c r="B20" s="1">
        <v>44601</v>
      </c>
      <c r="C20" t="s">
        <v>29</v>
      </c>
      <c r="D20" t="s">
        <v>62</v>
      </c>
      <c r="E20" t="s">
        <v>39</v>
      </c>
      <c r="F20" t="s">
        <v>31</v>
      </c>
      <c r="G20" t="s">
        <v>93</v>
      </c>
      <c r="H20" t="s">
        <v>41</v>
      </c>
      <c r="I20" t="s">
        <v>48</v>
      </c>
      <c r="J20" t="s">
        <v>94</v>
      </c>
      <c r="K20" t="s">
        <v>36</v>
      </c>
      <c r="L20">
        <v>128.66</v>
      </c>
      <c r="M20">
        <v>3</v>
      </c>
      <c r="N20" s="2">
        <v>0.15</v>
      </c>
      <c r="O20">
        <v>385.98</v>
      </c>
      <c r="P20">
        <v>57.896999999999998</v>
      </c>
      <c r="Q20">
        <f>Sheet1__3_1_1_1[[#This Row],[Gross_Revenue]]-Sheet1__3_1_1_1[[#This Row],[Discount_Amount]]</f>
        <v>328.08300000000003</v>
      </c>
      <c r="R20">
        <v>157.47999999999999</v>
      </c>
      <c r="S20">
        <f>Sheet1__3_1_1_1[[#This Row],[Net_Revenue]]-Sheet1__3_1_1_1[[#This Row],[COGS]]</f>
        <v>170.60300000000004</v>
      </c>
    </row>
    <row r="21" spans="1:19" x14ac:dyDescent="0.25">
      <c r="A21" t="s">
        <v>95</v>
      </c>
      <c r="B21" s="1">
        <v>44862</v>
      </c>
      <c r="C21" t="s">
        <v>29</v>
      </c>
      <c r="D21" t="s">
        <v>30</v>
      </c>
      <c r="E21" t="s">
        <v>66</v>
      </c>
      <c r="F21" t="s">
        <v>79</v>
      </c>
      <c r="G21" t="s">
        <v>96</v>
      </c>
      <c r="H21" t="s">
        <v>24</v>
      </c>
      <c r="I21" t="s">
        <v>42</v>
      </c>
      <c r="J21" t="s">
        <v>49</v>
      </c>
      <c r="K21" t="s">
        <v>27</v>
      </c>
      <c r="L21">
        <v>416.46</v>
      </c>
      <c r="M21">
        <v>2</v>
      </c>
      <c r="N21" s="2">
        <v>0</v>
      </c>
      <c r="O21">
        <v>832.92</v>
      </c>
      <c r="P21">
        <v>0</v>
      </c>
      <c r="Q21">
        <f>Sheet1__3_1_1_1[[#This Row],[Gross_Revenue]]-Sheet1__3_1_1_1[[#This Row],[Discount_Amount]]</f>
        <v>832.92</v>
      </c>
      <c r="R21">
        <v>516.41</v>
      </c>
      <c r="S21">
        <f>Sheet1__3_1_1_1[[#This Row],[Net_Revenue]]-Sheet1__3_1_1_1[[#This Row],[COGS]]</f>
        <v>316.51</v>
      </c>
    </row>
    <row r="22" spans="1:19" x14ac:dyDescent="0.25">
      <c r="A22" t="s">
        <v>97</v>
      </c>
      <c r="B22" s="1">
        <v>44914</v>
      </c>
      <c r="C22" t="s">
        <v>44</v>
      </c>
      <c r="D22" t="s">
        <v>45</v>
      </c>
      <c r="E22" t="s">
        <v>21</v>
      </c>
      <c r="F22" t="s">
        <v>79</v>
      </c>
      <c r="G22" t="s">
        <v>56</v>
      </c>
      <c r="H22" t="s">
        <v>47</v>
      </c>
      <c r="I22" t="s">
        <v>34</v>
      </c>
      <c r="J22" t="s">
        <v>94</v>
      </c>
      <c r="K22" t="s">
        <v>36</v>
      </c>
      <c r="L22">
        <v>53.18</v>
      </c>
      <c r="M22">
        <v>6</v>
      </c>
      <c r="N22" s="2">
        <v>0.1</v>
      </c>
      <c r="O22">
        <v>319.08</v>
      </c>
      <c r="P22">
        <v>31.908000000000001</v>
      </c>
      <c r="Q22">
        <f>Sheet1__3_1_1_1[[#This Row],[Gross_Revenue]]-Sheet1__3_1_1_1[[#This Row],[Discount_Amount]]</f>
        <v>287.17199999999997</v>
      </c>
      <c r="R22">
        <v>178.05</v>
      </c>
      <c r="S22">
        <f>Sheet1__3_1_1_1[[#This Row],[Net_Revenue]]-Sheet1__3_1_1_1[[#This Row],[COGS]]</f>
        <v>109.12199999999996</v>
      </c>
    </row>
    <row r="23" spans="1:19" x14ac:dyDescent="0.25">
      <c r="A23" t="s">
        <v>98</v>
      </c>
      <c r="B23" s="1">
        <v>44642</v>
      </c>
      <c r="C23" t="s">
        <v>99</v>
      </c>
      <c r="D23" t="s">
        <v>100</v>
      </c>
      <c r="E23" t="s">
        <v>21</v>
      </c>
      <c r="F23" t="s">
        <v>69</v>
      </c>
      <c r="G23" t="s">
        <v>101</v>
      </c>
      <c r="H23" t="s">
        <v>24</v>
      </c>
      <c r="I23" t="s">
        <v>25</v>
      </c>
      <c r="J23" t="s">
        <v>35</v>
      </c>
      <c r="K23" t="s">
        <v>36</v>
      </c>
      <c r="L23">
        <v>6.87</v>
      </c>
      <c r="M23">
        <v>27</v>
      </c>
      <c r="N23" s="2">
        <v>0</v>
      </c>
      <c r="O23">
        <v>185.49</v>
      </c>
      <c r="P23">
        <v>0</v>
      </c>
      <c r="Q23">
        <f>Sheet1__3_1_1_1[[#This Row],[Gross_Revenue]]-Sheet1__3_1_1_1[[#This Row],[Discount_Amount]]</f>
        <v>185.49</v>
      </c>
      <c r="R23">
        <v>70.489999999999995</v>
      </c>
      <c r="S23">
        <f>Sheet1__3_1_1_1[[#This Row],[Net_Revenue]]-Sheet1__3_1_1_1[[#This Row],[COGS]]</f>
        <v>115.00000000000001</v>
      </c>
    </row>
    <row r="24" spans="1:19" x14ac:dyDescent="0.25">
      <c r="A24" t="s">
        <v>102</v>
      </c>
      <c r="B24" s="1">
        <v>44957</v>
      </c>
      <c r="C24" t="s">
        <v>29</v>
      </c>
      <c r="D24" t="s">
        <v>30</v>
      </c>
      <c r="E24" t="s">
        <v>63</v>
      </c>
      <c r="F24" t="s">
        <v>55</v>
      </c>
      <c r="G24" t="s">
        <v>103</v>
      </c>
      <c r="H24" t="s">
        <v>57</v>
      </c>
      <c r="I24" t="s">
        <v>34</v>
      </c>
      <c r="J24" t="s">
        <v>26</v>
      </c>
      <c r="K24" t="s">
        <v>53</v>
      </c>
      <c r="L24">
        <v>172.11</v>
      </c>
      <c r="M24">
        <v>1</v>
      </c>
      <c r="N24" s="2">
        <v>0.1</v>
      </c>
      <c r="O24">
        <v>172.11</v>
      </c>
      <c r="P24">
        <v>17.211000000000002</v>
      </c>
      <c r="Q24">
        <f>Sheet1__3_1_1_1[[#This Row],[Gross_Revenue]]-Sheet1__3_1_1_1[[#This Row],[Discount_Amount]]</f>
        <v>154.899</v>
      </c>
      <c r="R24">
        <v>65.06</v>
      </c>
      <c r="S24">
        <f>Sheet1__3_1_1_1[[#This Row],[Net_Revenue]]-Sheet1__3_1_1_1[[#This Row],[COGS]]</f>
        <v>89.838999999999999</v>
      </c>
    </row>
    <row r="25" spans="1:19" x14ac:dyDescent="0.25">
      <c r="A25" t="s">
        <v>104</v>
      </c>
      <c r="B25" s="1">
        <v>45074</v>
      </c>
      <c r="C25" t="s">
        <v>19</v>
      </c>
      <c r="D25" t="s">
        <v>91</v>
      </c>
      <c r="E25" t="s">
        <v>39</v>
      </c>
      <c r="F25" t="s">
        <v>79</v>
      </c>
      <c r="G25" t="s">
        <v>56</v>
      </c>
      <c r="H25" t="s">
        <v>59</v>
      </c>
      <c r="I25" t="s">
        <v>34</v>
      </c>
      <c r="J25" t="s">
        <v>26</v>
      </c>
      <c r="K25" t="s">
        <v>27</v>
      </c>
      <c r="L25">
        <v>55.69</v>
      </c>
      <c r="M25">
        <v>6</v>
      </c>
      <c r="N25" s="2">
        <v>0</v>
      </c>
      <c r="O25">
        <v>334.14</v>
      </c>
      <c r="P25">
        <v>0</v>
      </c>
      <c r="Q25">
        <f>Sheet1__3_1_1_1[[#This Row],[Gross_Revenue]]-Sheet1__3_1_1_1[[#This Row],[Discount_Amount]]</f>
        <v>334.14</v>
      </c>
      <c r="R25">
        <v>207.17</v>
      </c>
      <c r="S25">
        <f>Sheet1__3_1_1_1[[#This Row],[Net_Revenue]]-Sheet1__3_1_1_1[[#This Row],[COGS]]</f>
        <v>126.97</v>
      </c>
    </row>
    <row r="26" spans="1:19" x14ac:dyDescent="0.25">
      <c r="A26" t="s">
        <v>105</v>
      </c>
      <c r="B26" s="1">
        <v>45164</v>
      </c>
      <c r="C26" t="s">
        <v>29</v>
      </c>
      <c r="D26" t="s">
        <v>30</v>
      </c>
      <c r="E26" t="s">
        <v>39</v>
      </c>
      <c r="F26" t="s">
        <v>79</v>
      </c>
      <c r="G26" t="s">
        <v>85</v>
      </c>
      <c r="H26" t="s">
        <v>106</v>
      </c>
      <c r="I26" t="s">
        <v>48</v>
      </c>
      <c r="J26" t="s">
        <v>35</v>
      </c>
      <c r="K26" t="s">
        <v>36</v>
      </c>
      <c r="L26">
        <v>1047.9100000000001</v>
      </c>
      <c r="M26">
        <v>6</v>
      </c>
      <c r="N26" s="2">
        <v>0.1</v>
      </c>
      <c r="O26">
        <v>6287.4600000000009</v>
      </c>
      <c r="P26">
        <v>628.74600000000009</v>
      </c>
      <c r="Q26">
        <f>Sheet1__3_1_1_1[[#This Row],[Gross_Revenue]]-Sheet1__3_1_1_1[[#This Row],[Discount_Amount]]</f>
        <v>5658.7140000000009</v>
      </c>
      <c r="R26">
        <v>3508.4</v>
      </c>
      <c r="S26">
        <f>Sheet1__3_1_1_1[[#This Row],[Net_Revenue]]-Sheet1__3_1_1_1[[#This Row],[COGS]]</f>
        <v>2150.3140000000008</v>
      </c>
    </row>
    <row r="27" spans="1:19" x14ac:dyDescent="0.25">
      <c r="A27" t="s">
        <v>107</v>
      </c>
      <c r="B27" s="1">
        <v>45078</v>
      </c>
      <c r="C27" t="s">
        <v>77</v>
      </c>
      <c r="D27" t="s">
        <v>78</v>
      </c>
      <c r="E27" t="s">
        <v>39</v>
      </c>
      <c r="F27" t="s">
        <v>22</v>
      </c>
      <c r="G27" t="s">
        <v>23</v>
      </c>
      <c r="H27" t="s">
        <v>108</v>
      </c>
      <c r="I27" t="s">
        <v>34</v>
      </c>
      <c r="J27" t="s">
        <v>35</v>
      </c>
      <c r="K27" t="s">
        <v>36</v>
      </c>
      <c r="L27">
        <v>15.29</v>
      </c>
      <c r="M27">
        <v>17</v>
      </c>
      <c r="N27" s="2">
        <v>0</v>
      </c>
      <c r="O27">
        <v>259.93</v>
      </c>
      <c r="P27">
        <v>0</v>
      </c>
      <c r="Q27">
        <f>Sheet1__3_1_1_1[[#This Row],[Gross_Revenue]]-Sheet1__3_1_1_1[[#This Row],[Discount_Amount]]</f>
        <v>259.93</v>
      </c>
      <c r="R27">
        <v>142.96</v>
      </c>
      <c r="S27">
        <f>Sheet1__3_1_1_1[[#This Row],[Net_Revenue]]-Sheet1__3_1_1_1[[#This Row],[COGS]]</f>
        <v>116.97</v>
      </c>
    </row>
    <row r="28" spans="1:19" x14ac:dyDescent="0.25">
      <c r="A28" t="s">
        <v>109</v>
      </c>
      <c r="B28" s="1">
        <v>44726</v>
      </c>
      <c r="C28" t="s">
        <v>77</v>
      </c>
      <c r="D28" t="s">
        <v>110</v>
      </c>
      <c r="E28" t="s">
        <v>39</v>
      </c>
      <c r="F28" t="s">
        <v>69</v>
      </c>
      <c r="G28" t="s">
        <v>70</v>
      </c>
      <c r="H28" t="s">
        <v>111</v>
      </c>
      <c r="I28" t="s">
        <v>42</v>
      </c>
      <c r="J28" t="s">
        <v>49</v>
      </c>
      <c r="K28" t="s">
        <v>53</v>
      </c>
      <c r="L28">
        <v>366.33</v>
      </c>
      <c r="M28">
        <v>30</v>
      </c>
      <c r="N28" s="2">
        <v>0.2</v>
      </c>
      <c r="O28">
        <v>10989.9</v>
      </c>
      <c r="P28">
        <v>2197.98</v>
      </c>
      <c r="Q28">
        <f>Sheet1__3_1_1_1[[#This Row],[Gross_Revenue]]-Sheet1__3_1_1_1[[#This Row],[Discount_Amount]]</f>
        <v>8791.92</v>
      </c>
      <c r="R28">
        <v>3340.93</v>
      </c>
      <c r="S28">
        <f>Sheet1__3_1_1_1[[#This Row],[Net_Revenue]]-Sheet1__3_1_1_1[[#This Row],[COGS]]</f>
        <v>5450.99</v>
      </c>
    </row>
    <row r="29" spans="1:19" x14ac:dyDescent="0.25">
      <c r="A29" t="s">
        <v>112</v>
      </c>
      <c r="B29" s="1">
        <v>45258</v>
      </c>
      <c r="C29" t="s">
        <v>99</v>
      </c>
      <c r="D29" t="s">
        <v>100</v>
      </c>
      <c r="E29" t="s">
        <v>39</v>
      </c>
      <c r="F29" t="s">
        <v>22</v>
      </c>
      <c r="G29" t="s">
        <v>113</v>
      </c>
      <c r="H29" t="s">
        <v>24</v>
      </c>
      <c r="I29" t="s">
        <v>48</v>
      </c>
      <c r="J29" t="s">
        <v>94</v>
      </c>
      <c r="K29" t="s">
        <v>36</v>
      </c>
      <c r="L29">
        <v>10.83</v>
      </c>
      <c r="M29">
        <v>14</v>
      </c>
      <c r="N29" s="2">
        <v>0.05</v>
      </c>
      <c r="O29">
        <v>151.62</v>
      </c>
      <c r="P29">
        <v>7.5810000000000004</v>
      </c>
      <c r="Q29">
        <f>Sheet1__3_1_1_1[[#This Row],[Gross_Revenue]]-Sheet1__3_1_1_1[[#This Row],[Discount_Amount]]</f>
        <v>144.03900000000002</v>
      </c>
      <c r="R29">
        <v>79.22</v>
      </c>
      <c r="S29">
        <f>Sheet1__3_1_1_1[[#This Row],[Net_Revenue]]-Sheet1__3_1_1_1[[#This Row],[COGS]]</f>
        <v>64.819000000000017</v>
      </c>
    </row>
    <row r="30" spans="1:19" x14ac:dyDescent="0.25">
      <c r="A30" t="s">
        <v>114</v>
      </c>
      <c r="B30" s="1">
        <v>44785</v>
      </c>
      <c r="C30" t="s">
        <v>99</v>
      </c>
      <c r="D30" t="s">
        <v>100</v>
      </c>
      <c r="E30" t="s">
        <v>63</v>
      </c>
      <c r="F30" t="s">
        <v>31</v>
      </c>
      <c r="G30" t="s">
        <v>32</v>
      </c>
      <c r="H30" t="s">
        <v>47</v>
      </c>
      <c r="I30" t="s">
        <v>48</v>
      </c>
      <c r="J30" t="s">
        <v>89</v>
      </c>
      <c r="K30" t="s">
        <v>27</v>
      </c>
      <c r="L30">
        <v>386.44</v>
      </c>
      <c r="M30">
        <v>2</v>
      </c>
      <c r="N30" s="2">
        <v>0</v>
      </c>
      <c r="O30">
        <v>772.88</v>
      </c>
      <c r="P30">
        <v>0</v>
      </c>
      <c r="Q30">
        <f>Sheet1__3_1_1_1[[#This Row],[Gross_Revenue]]-Sheet1__3_1_1_1[[#This Row],[Discount_Amount]]</f>
        <v>772.88</v>
      </c>
      <c r="R30">
        <v>370.98</v>
      </c>
      <c r="S30">
        <f>Sheet1__3_1_1_1[[#This Row],[Net_Revenue]]-Sheet1__3_1_1_1[[#This Row],[COGS]]</f>
        <v>401.9</v>
      </c>
    </row>
    <row r="31" spans="1:19" x14ac:dyDescent="0.25">
      <c r="A31" t="s">
        <v>115</v>
      </c>
      <c r="B31" s="1">
        <v>44919</v>
      </c>
      <c r="C31" t="s">
        <v>29</v>
      </c>
      <c r="D31" t="s">
        <v>30</v>
      </c>
      <c r="E31" t="s">
        <v>63</v>
      </c>
      <c r="F31" t="s">
        <v>79</v>
      </c>
      <c r="G31" t="s">
        <v>56</v>
      </c>
      <c r="H31" t="s">
        <v>47</v>
      </c>
      <c r="I31" t="s">
        <v>42</v>
      </c>
      <c r="J31" t="s">
        <v>35</v>
      </c>
      <c r="K31" t="s">
        <v>53</v>
      </c>
      <c r="L31">
        <v>45</v>
      </c>
      <c r="M31">
        <v>1</v>
      </c>
      <c r="N31" s="2">
        <v>0</v>
      </c>
      <c r="O31">
        <v>45</v>
      </c>
      <c r="P31">
        <v>0</v>
      </c>
      <c r="Q31">
        <f>Sheet1__3_1_1_1[[#This Row],[Gross_Revenue]]-Sheet1__3_1_1_1[[#This Row],[Discount_Amount]]</f>
        <v>45</v>
      </c>
      <c r="R31">
        <v>27.9</v>
      </c>
      <c r="S31">
        <f>Sheet1__3_1_1_1[[#This Row],[Net_Revenue]]-Sheet1__3_1_1_1[[#This Row],[COGS]]</f>
        <v>17.100000000000001</v>
      </c>
    </row>
    <row r="32" spans="1:19" x14ac:dyDescent="0.25">
      <c r="A32" t="s">
        <v>116</v>
      </c>
      <c r="B32" s="1">
        <v>45006</v>
      </c>
      <c r="C32" t="s">
        <v>19</v>
      </c>
      <c r="D32" t="s">
        <v>20</v>
      </c>
      <c r="E32" t="s">
        <v>66</v>
      </c>
      <c r="F32" t="s">
        <v>69</v>
      </c>
      <c r="G32" t="s">
        <v>70</v>
      </c>
      <c r="H32" t="s">
        <v>33</v>
      </c>
      <c r="I32" t="s">
        <v>48</v>
      </c>
      <c r="J32" t="s">
        <v>49</v>
      </c>
      <c r="K32" t="s">
        <v>53</v>
      </c>
      <c r="L32" t="s">
        <v>1147</v>
      </c>
      <c r="M32">
        <v>23</v>
      </c>
      <c r="N32" s="2">
        <v>0.05</v>
      </c>
      <c r="O32">
        <v>0</v>
      </c>
      <c r="P32">
        <v>0</v>
      </c>
      <c r="Q32">
        <f>Sheet1__3_1_1_1[[#This Row],[Gross_Revenue]]-Sheet1__3_1_1_1[[#This Row],[Discount_Amount]]</f>
        <v>0</v>
      </c>
      <c r="R32" t="s">
        <v>1147</v>
      </c>
      <c r="S32" t="e">
        <f>Sheet1__3_1_1_1[[#This Row],[Net_Revenue]]-Sheet1__3_1_1_1[[#This Row],[COGS]]</f>
        <v>#VALUE!</v>
      </c>
    </row>
    <row r="33" spans="1:19" x14ac:dyDescent="0.25">
      <c r="A33" t="s">
        <v>117</v>
      </c>
      <c r="B33" s="1">
        <v>44946</v>
      </c>
      <c r="C33" t="s">
        <v>44</v>
      </c>
      <c r="D33" t="s">
        <v>65</v>
      </c>
      <c r="E33" t="s">
        <v>21</v>
      </c>
      <c r="F33" t="s">
        <v>22</v>
      </c>
      <c r="G33" t="s">
        <v>75</v>
      </c>
      <c r="H33" t="s">
        <v>106</v>
      </c>
      <c r="I33" t="s">
        <v>60</v>
      </c>
      <c r="J33" t="s">
        <v>89</v>
      </c>
      <c r="K33" t="s">
        <v>36</v>
      </c>
      <c r="L33">
        <v>11.32</v>
      </c>
      <c r="M33">
        <v>11</v>
      </c>
      <c r="N33" s="2">
        <v>0.15</v>
      </c>
      <c r="O33">
        <v>124.52000000000001</v>
      </c>
      <c r="P33">
        <v>18.678000000000001</v>
      </c>
      <c r="Q33">
        <f>Sheet1__3_1_1_1[[#This Row],[Gross_Revenue]]-Sheet1__3_1_1_1[[#This Row],[Discount_Amount]]</f>
        <v>105.84200000000001</v>
      </c>
      <c r="R33">
        <v>58.21</v>
      </c>
      <c r="S33">
        <f>Sheet1__3_1_1_1[[#This Row],[Net_Revenue]]-Sheet1__3_1_1_1[[#This Row],[COGS]]</f>
        <v>47.632000000000012</v>
      </c>
    </row>
    <row r="34" spans="1:19" x14ac:dyDescent="0.25">
      <c r="A34" t="s">
        <v>118</v>
      </c>
      <c r="B34" s="1">
        <v>44837</v>
      </c>
      <c r="C34" t="s">
        <v>44</v>
      </c>
      <c r="D34" t="s">
        <v>65</v>
      </c>
      <c r="E34" t="s">
        <v>66</v>
      </c>
      <c r="F34" t="s">
        <v>31</v>
      </c>
      <c r="G34" t="s">
        <v>40</v>
      </c>
      <c r="H34" t="s">
        <v>24</v>
      </c>
      <c r="I34" t="s">
        <v>42</v>
      </c>
      <c r="J34" t="s">
        <v>89</v>
      </c>
      <c r="K34" t="s">
        <v>53</v>
      </c>
      <c r="L34">
        <v>235.72</v>
      </c>
      <c r="M34">
        <v>7</v>
      </c>
      <c r="N34" s="2">
        <v>0.2</v>
      </c>
      <c r="O34">
        <v>1650.04</v>
      </c>
      <c r="P34">
        <v>330.00800000000004</v>
      </c>
      <c r="Q34">
        <f>Sheet1__3_1_1_1[[#This Row],[Gross_Revenue]]-Sheet1__3_1_1_1[[#This Row],[Discount_Amount]]</f>
        <v>1320.0319999999999</v>
      </c>
      <c r="R34">
        <v>633.61</v>
      </c>
      <c r="S34">
        <f>Sheet1__3_1_1_1[[#This Row],[Net_Revenue]]-Sheet1__3_1_1_1[[#This Row],[COGS]]</f>
        <v>686.42199999999991</v>
      </c>
    </row>
    <row r="35" spans="1:19" x14ac:dyDescent="0.25">
      <c r="A35" t="s">
        <v>119</v>
      </c>
      <c r="B35" s="1">
        <v>45259</v>
      </c>
      <c r="C35" t="s">
        <v>77</v>
      </c>
      <c r="D35" t="s">
        <v>82</v>
      </c>
      <c r="E35" t="s">
        <v>21</v>
      </c>
      <c r="F35" t="s">
        <v>55</v>
      </c>
      <c r="G35" t="s">
        <v>120</v>
      </c>
      <c r="H35" t="s">
        <v>57</v>
      </c>
      <c r="I35" t="s">
        <v>34</v>
      </c>
      <c r="J35" t="s">
        <v>26</v>
      </c>
      <c r="K35" t="s">
        <v>27</v>
      </c>
      <c r="L35">
        <v>108.24</v>
      </c>
      <c r="M35">
        <v>7</v>
      </c>
      <c r="N35" s="2">
        <v>0.15</v>
      </c>
      <c r="O35">
        <v>757.68</v>
      </c>
      <c r="P35">
        <v>113.65199999999999</v>
      </c>
      <c r="Q35">
        <f>Sheet1__3_1_1_1[[#This Row],[Gross_Revenue]]-Sheet1__3_1_1_1[[#This Row],[Discount_Amount]]</f>
        <v>644.02800000000002</v>
      </c>
      <c r="R35">
        <v>270.49</v>
      </c>
      <c r="S35">
        <f>Sheet1__3_1_1_1[[#This Row],[Net_Revenue]]-Sheet1__3_1_1_1[[#This Row],[COGS]]</f>
        <v>373.53800000000001</v>
      </c>
    </row>
    <row r="36" spans="1:19" x14ac:dyDescent="0.25">
      <c r="A36" t="s">
        <v>121</v>
      </c>
      <c r="B36" s="1">
        <v>45161</v>
      </c>
      <c r="C36" t="s">
        <v>77</v>
      </c>
      <c r="D36" t="s">
        <v>110</v>
      </c>
      <c r="E36" t="s">
        <v>21</v>
      </c>
      <c r="F36" t="s">
        <v>31</v>
      </c>
      <c r="G36" t="s">
        <v>122</v>
      </c>
      <c r="H36" t="s">
        <v>57</v>
      </c>
      <c r="I36" t="s">
        <v>60</v>
      </c>
      <c r="J36" t="s">
        <v>49</v>
      </c>
      <c r="K36" t="s">
        <v>53</v>
      </c>
      <c r="L36">
        <v>473.24</v>
      </c>
      <c r="M36">
        <v>7</v>
      </c>
      <c r="N36" s="2">
        <v>0.05</v>
      </c>
      <c r="O36">
        <v>3312.6800000000003</v>
      </c>
      <c r="P36">
        <v>165.63400000000001</v>
      </c>
      <c r="Q36">
        <f>Sheet1__3_1_1_1[[#This Row],[Gross_Revenue]]-Sheet1__3_1_1_1[[#This Row],[Discount_Amount]]</f>
        <v>3147.0460000000003</v>
      </c>
      <c r="R36">
        <v>1510.58</v>
      </c>
      <c r="S36">
        <f>Sheet1__3_1_1_1[[#This Row],[Net_Revenue]]-Sheet1__3_1_1_1[[#This Row],[COGS]]</f>
        <v>1636.4660000000003</v>
      </c>
    </row>
    <row r="37" spans="1:19" x14ac:dyDescent="0.25">
      <c r="A37" t="s">
        <v>123</v>
      </c>
      <c r="B37" s="1">
        <v>44979</v>
      </c>
      <c r="C37" t="s">
        <v>29</v>
      </c>
      <c r="D37" t="s">
        <v>62</v>
      </c>
      <c r="E37" t="s">
        <v>63</v>
      </c>
      <c r="F37" t="s">
        <v>55</v>
      </c>
      <c r="G37" t="s">
        <v>56</v>
      </c>
      <c r="H37" t="s">
        <v>87</v>
      </c>
      <c r="I37" t="s">
        <v>48</v>
      </c>
      <c r="J37" t="s">
        <v>35</v>
      </c>
      <c r="K37" t="s">
        <v>36</v>
      </c>
      <c r="L37">
        <v>38.520000000000003</v>
      </c>
      <c r="M37">
        <v>4</v>
      </c>
      <c r="N37" s="2">
        <v>0</v>
      </c>
      <c r="O37">
        <v>154.08000000000001</v>
      </c>
      <c r="P37">
        <v>0</v>
      </c>
      <c r="Q37">
        <f>Sheet1__3_1_1_1[[#This Row],[Gross_Revenue]]-Sheet1__3_1_1_1[[#This Row],[Discount_Amount]]</f>
        <v>154.08000000000001</v>
      </c>
      <c r="R37">
        <v>64.709999999999994</v>
      </c>
      <c r="S37">
        <f>Sheet1__3_1_1_1[[#This Row],[Net_Revenue]]-Sheet1__3_1_1_1[[#This Row],[COGS]]</f>
        <v>89.370000000000019</v>
      </c>
    </row>
    <row r="38" spans="1:19" x14ac:dyDescent="0.25">
      <c r="A38" t="s">
        <v>124</v>
      </c>
      <c r="B38" s="1">
        <v>44804</v>
      </c>
      <c r="C38" t="s">
        <v>29</v>
      </c>
      <c r="D38" t="s">
        <v>62</v>
      </c>
      <c r="E38" t="s">
        <v>21</v>
      </c>
      <c r="F38" t="s">
        <v>69</v>
      </c>
      <c r="G38" t="s">
        <v>70</v>
      </c>
      <c r="H38" t="s">
        <v>33</v>
      </c>
      <c r="I38" t="s">
        <v>34</v>
      </c>
      <c r="J38" t="s">
        <v>94</v>
      </c>
      <c r="K38" t="s">
        <v>53</v>
      </c>
      <c r="L38">
        <v>308.12</v>
      </c>
      <c r="M38">
        <v>3</v>
      </c>
      <c r="N38" s="2">
        <v>0.2</v>
      </c>
      <c r="O38">
        <v>924.36</v>
      </c>
      <c r="P38">
        <v>184.87200000000001</v>
      </c>
      <c r="Q38">
        <f>Sheet1__3_1_1_1[[#This Row],[Gross_Revenue]]-Sheet1__3_1_1_1[[#This Row],[Discount_Amount]]</f>
        <v>739.48800000000006</v>
      </c>
      <c r="R38">
        <v>281.01</v>
      </c>
      <c r="S38">
        <f>Sheet1__3_1_1_1[[#This Row],[Net_Revenue]]-Sheet1__3_1_1_1[[#This Row],[COGS]]</f>
        <v>458.47800000000007</v>
      </c>
    </row>
    <row r="39" spans="1:19" x14ac:dyDescent="0.25">
      <c r="A39" t="s">
        <v>125</v>
      </c>
      <c r="B39" s="1">
        <v>45057</v>
      </c>
      <c r="C39" t="s">
        <v>44</v>
      </c>
      <c r="D39" t="s">
        <v>45</v>
      </c>
      <c r="E39" t="s">
        <v>63</v>
      </c>
      <c r="F39" t="s">
        <v>69</v>
      </c>
      <c r="G39" t="s">
        <v>126</v>
      </c>
      <c r="H39" t="s">
        <v>24</v>
      </c>
      <c r="I39" t="s">
        <v>48</v>
      </c>
      <c r="J39" t="s">
        <v>35</v>
      </c>
      <c r="K39" t="s">
        <v>36</v>
      </c>
      <c r="L39">
        <v>25.84</v>
      </c>
      <c r="N39" s="2">
        <v>0.2</v>
      </c>
      <c r="O39">
        <v>0</v>
      </c>
      <c r="P39">
        <v>0</v>
      </c>
      <c r="Q39">
        <f>Sheet1__3_1_1_1[[#This Row],[Gross_Revenue]]-Sheet1__3_1_1_1[[#This Row],[Discount_Amount]]</f>
        <v>0</v>
      </c>
      <c r="R39" t="s">
        <v>1147</v>
      </c>
      <c r="S39" t="e">
        <f>Sheet1__3_1_1_1[[#This Row],[Net_Revenue]]-Sheet1__3_1_1_1[[#This Row],[COGS]]</f>
        <v>#VALUE!</v>
      </c>
    </row>
    <row r="40" spans="1:19" x14ac:dyDescent="0.25">
      <c r="A40" t="s">
        <v>127</v>
      </c>
      <c r="B40" s="1">
        <v>45219</v>
      </c>
      <c r="C40" t="s">
        <v>44</v>
      </c>
      <c r="D40" t="s">
        <v>45</v>
      </c>
      <c r="E40" t="s">
        <v>21</v>
      </c>
      <c r="F40" t="s">
        <v>31</v>
      </c>
      <c r="G40" t="s">
        <v>32</v>
      </c>
      <c r="H40" t="s">
        <v>33</v>
      </c>
      <c r="I40" t="s">
        <v>25</v>
      </c>
      <c r="J40" t="s">
        <v>89</v>
      </c>
      <c r="K40" t="s">
        <v>36</v>
      </c>
      <c r="L40">
        <v>417.01</v>
      </c>
      <c r="M40">
        <v>3</v>
      </c>
      <c r="N40" s="2">
        <v>0.2</v>
      </c>
      <c r="O40">
        <v>1251.03</v>
      </c>
      <c r="P40">
        <v>250.20600000000002</v>
      </c>
      <c r="Q40">
        <f>Sheet1__3_1_1_1[[#This Row],[Gross_Revenue]]-Sheet1__3_1_1_1[[#This Row],[Discount_Amount]]</f>
        <v>1000.824</v>
      </c>
      <c r="R40">
        <v>480.39</v>
      </c>
      <c r="S40">
        <f>Sheet1__3_1_1_1[[#This Row],[Net_Revenue]]-Sheet1__3_1_1_1[[#This Row],[COGS]]</f>
        <v>520.43399999999997</v>
      </c>
    </row>
    <row r="41" spans="1:19" x14ac:dyDescent="0.25">
      <c r="A41" t="s">
        <v>128</v>
      </c>
      <c r="B41" s="1">
        <v>44655</v>
      </c>
      <c r="C41" t="s">
        <v>29</v>
      </c>
      <c r="D41" t="s">
        <v>38</v>
      </c>
      <c r="E41" t="s">
        <v>63</v>
      </c>
      <c r="F41" t="s">
        <v>55</v>
      </c>
      <c r="G41" t="s">
        <v>83</v>
      </c>
      <c r="H41" t="s">
        <v>87</v>
      </c>
      <c r="I41" t="s">
        <v>42</v>
      </c>
      <c r="J41" t="s">
        <v>35</v>
      </c>
      <c r="K41" t="s">
        <v>27</v>
      </c>
      <c r="L41">
        <v>59.65</v>
      </c>
      <c r="M41">
        <v>6</v>
      </c>
      <c r="N41" s="2">
        <v>0.15</v>
      </c>
      <c r="O41">
        <v>357.9</v>
      </c>
      <c r="P41">
        <v>53.684999999999995</v>
      </c>
      <c r="Q41">
        <f>Sheet1__3_1_1_1[[#This Row],[Gross_Revenue]]-Sheet1__3_1_1_1[[#This Row],[Discount_Amount]]</f>
        <v>304.21499999999997</v>
      </c>
      <c r="R41">
        <v>127.77</v>
      </c>
      <c r="S41">
        <f>Sheet1__3_1_1_1[[#This Row],[Net_Revenue]]-Sheet1__3_1_1_1[[#This Row],[COGS]]</f>
        <v>176.44499999999999</v>
      </c>
    </row>
    <row r="42" spans="1:19" x14ac:dyDescent="0.25">
      <c r="A42" t="s">
        <v>129</v>
      </c>
      <c r="B42" s="1">
        <v>45288</v>
      </c>
      <c r="C42" t="s">
        <v>19</v>
      </c>
      <c r="D42" t="s">
        <v>130</v>
      </c>
      <c r="E42" t="s">
        <v>66</v>
      </c>
      <c r="F42" t="s">
        <v>31</v>
      </c>
      <c r="G42" t="s">
        <v>93</v>
      </c>
      <c r="H42" t="s">
        <v>87</v>
      </c>
      <c r="I42" t="s">
        <v>25</v>
      </c>
      <c r="J42" t="s">
        <v>26</v>
      </c>
      <c r="K42" t="s">
        <v>27</v>
      </c>
      <c r="L42">
        <v>119.42</v>
      </c>
      <c r="M42">
        <v>3</v>
      </c>
      <c r="N42" s="2">
        <v>0</v>
      </c>
      <c r="O42">
        <v>358.26</v>
      </c>
      <c r="P42">
        <v>0</v>
      </c>
      <c r="Q42">
        <f>Sheet1__3_1_1_1[[#This Row],[Gross_Revenue]]-Sheet1__3_1_1_1[[#This Row],[Discount_Amount]]</f>
        <v>358.26</v>
      </c>
      <c r="R42">
        <v>171.96</v>
      </c>
      <c r="S42">
        <f>Sheet1__3_1_1_1[[#This Row],[Net_Revenue]]-Sheet1__3_1_1_1[[#This Row],[COGS]]</f>
        <v>186.29999999999998</v>
      </c>
    </row>
    <row r="43" spans="1:19" x14ac:dyDescent="0.25">
      <c r="A43" t="s">
        <v>131</v>
      </c>
      <c r="B43" s="1">
        <v>45172</v>
      </c>
      <c r="C43" t="s">
        <v>99</v>
      </c>
      <c r="D43" t="s">
        <v>132</v>
      </c>
      <c r="E43" t="s">
        <v>39</v>
      </c>
      <c r="F43" t="s">
        <v>79</v>
      </c>
      <c r="G43" t="s">
        <v>96</v>
      </c>
      <c r="H43" t="s">
        <v>24</v>
      </c>
      <c r="I43" t="s">
        <v>25</v>
      </c>
      <c r="J43" t="s">
        <v>35</v>
      </c>
      <c r="K43" t="s">
        <v>27</v>
      </c>
      <c r="L43">
        <v>453.92</v>
      </c>
      <c r="M43">
        <v>6</v>
      </c>
      <c r="N43" s="2">
        <v>0</v>
      </c>
      <c r="O43">
        <v>2723.52</v>
      </c>
      <c r="P43">
        <v>0</v>
      </c>
      <c r="Q43">
        <f>Sheet1__3_1_1_1[[#This Row],[Gross_Revenue]]-Sheet1__3_1_1_1[[#This Row],[Discount_Amount]]</f>
        <v>2723.52</v>
      </c>
      <c r="R43">
        <v>1688.58</v>
      </c>
      <c r="S43">
        <f>Sheet1__3_1_1_1[[#This Row],[Net_Revenue]]-Sheet1__3_1_1_1[[#This Row],[COGS]]</f>
        <v>1034.94</v>
      </c>
    </row>
    <row r="44" spans="1:19" x14ac:dyDescent="0.25">
      <c r="A44" t="s">
        <v>133</v>
      </c>
      <c r="B44" s="1">
        <v>45172</v>
      </c>
      <c r="C44" t="s">
        <v>77</v>
      </c>
      <c r="D44" t="s">
        <v>82</v>
      </c>
      <c r="E44" t="s">
        <v>66</v>
      </c>
      <c r="F44" t="s">
        <v>69</v>
      </c>
      <c r="G44" t="s">
        <v>73</v>
      </c>
      <c r="H44" t="s">
        <v>87</v>
      </c>
      <c r="I44" t="s">
        <v>34</v>
      </c>
      <c r="J44" t="s">
        <v>35</v>
      </c>
      <c r="K44" t="s">
        <v>53</v>
      </c>
      <c r="L44">
        <v>13.36</v>
      </c>
      <c r="M44">
        <v>5</v>
      </c>
      <c r="N44" s="2">
        <v>0</v>
      </c>
      <c r="O44">
        <v>66.8</v>
      </c>
      <c r="P44">
        <v>0</v>
      </c>
      <c r="Q44">
        <f>Sheet1__3_1_1_1[[#This Row],[Gross_Revenue]]-Sheet1__3_1_1_1[[#This Row],[Discount_Amount]]</f>
        <v>66.8</v>
      </c>
      <c r="R44">
        <v>25.38</v>
      </c>
      <c r="S44">
        <f>Sheet1__3_1_1_1[[#This Row],[Net_Revenue]]-Sheet1__3_1_1_1[[#This Row],[COGS]]</f>
        <v>41.42</v>
      </c>
    </row>
    <row r="45" spans="1:19" x14ac:dyDescent="0.25">
      <c r="A45" t="s">
        <v>134</v>
      </c>
      <c r="B45" s="1">
        <v>44590</v>
      </c>
      <c r="C45" t="s">
        <v>44</v>
      </c>
      <c r="D45" t="s">
        <v>45</v>
      </c>
      <c r="E45" t="s">
        <v>21</v>
      </c>
      <c r="F45" t="s">
        <v>55</v>
      </c>
      <c r="G45" t="s">
        <v>67</v>
      </c>
      <c r="H45" t="s">
        <v>106</v>
      </c>
      <c r="I45" t="s">
        <v>60</v>
      </c>
      <c r="J45" t="s">
        <v>94</v>
      </c>
      <c r="K45" t="s">
        <v>36</v>
      </c>
      <c r="L45">
        <v>68.75</v>
      </c>
      <c r="M45">
        <v>7</v>
      </c>
      <c r="N45" s="2">
        <v>0</v>
      </c>
      <c r="O45">
        <v>481.25</v>
      </c>
      <c r="P45">
        <v>0</v>
      </c>
      <c r="Q45">
        <f>Sheet1__3_1_1_1[[#This Row],[Gross_Revenue]]-Sheet1__3_1_1_1[[#This Row],[Discount_Amount]]</f>
        <v>481.25</v>
      </c>
      <c r="R45">
        <v>202.12</v>
      </c>
      <c r="S45">
        <f>Sheet1__3_1_1_1[[#This Row],[Net_Revenue]]-Sheet1__3_1_1_1[[#This Row],[COGS]]</f>
        <v>279.13</v>
      </c>
    </row>
    <row r="46" spans="1:19" x14ac:dyDescent="0.25">
      <c r="A46" t="s">
        <v>135</v>
      </c>
      <c r="B46" s="1">
        <v>45093</v>
      </c>
      <c r="C46" t="s">
        <v>77</v>
      </c>
      <c r="D46" t="s">
        <v>82</v>
      </c>
      <c r="E46" t="s">
        <v>21</v>
      </c>
      <c r="F46" t="s">
        <v>55</v>
      </c>
      <c r="G46" t="s">
        <v>103</v>
      </c>
      <c r="H46" t="s">
        <v>111</v>
      </c>
      <c r="I46" t="s">
        <v>42</v>
      </c>
      <c r="J46" t="s">
        <v>35</v>
      </c>
      <c r="K46" t="s">
        <v>36</v>
      </c>
      <c r="L46">
        <v>179.78</v>
      </c>
      <c r="M46">
        <v>7</v>
      </c>
      <c r="N46" s="2">
        <v>0.1</v>
      </c>
      <c r="O46">
        <v>1258.46</v>
      </c>
      <c r="P46">
        <v>125.846</v>
      </c>
      <c r="Q46">
        <f>Sheet1__3_1_1_1[[#This Row],[Gross_Revenue]]-Sheet1__3_1_1_1[[#This Row],[Discount_Amount]]</f>
        <v>1132.614</v>
      </c>
      <c r="R46">
        <v>475.7</v>
      </c>
      <c r="S46">
        <f>Sheet1__3_1_1_1[[#This Row],[Net_Revenue]]-Sheet1__3_1_1_1[[#This Row],[COGS]]</f>
        <v>656.91399999999999</v>
      </c>
    </row>
    <row r="47" spans="1:19" x14ac:dyDescent="0.25">
      <c r="A47" t="s">
        <v>136</v>
      </c>
      <c r="B47" s="1">
        <v>45242</v>
      </c>
      <c r="C47" t="s">
        <v>19</v>
      </c>
      <c r="D47" t="s">
        <v>130</v>
      </c>
      <c r="E47" t="s">
        <v>66</v>
      </c>
      <c r="F47" t="s">
        <v>55</v>
      </c>
      <c r="G47" t="s">
        <v>56</v>
      </c>
      <c r="H47" t="s">
        <v>59</v>
      </c>
      <c r="I47" t="s">
        <v>60</v>
      </c>
      <c r="J47" t="s">
        <v>49</v>
      </c>
      <c r="K47" t="s">
        <v>36</v>
      </c>
      <c r="L47">
        <v>39.799999999999997</v>
      </c>
      <c r="M47">
        <v>3</v>
      </c>
      <c r="N47" s="2">
        <v>0.15</v>
      </c>
      <c r="O47">
        <v>119.39999999999999</v>
      </c>
      <c r="P47">
        <v>17.909999999999997</v>
      </c>
      <c r="Q47">
        <f>Sheet1__3_1_1_1[[#This Row],[Gross_Revenue]]-Sheet1__3_1_1_1[[#This Row],[Discount_Amount]]</f>
        <v>101.49</v>
      </c>
      <c r="R47">
        <v>42.63</v>
      </c>
      <c r="S47">
        <f>Sheet1__3_1_1_1[[#This Row],[Net_Revenue]]-Sheet1__3_1_1_1[[#This Row],[COGS]]</f>
        <v>58.859999999999992</v>
      </c>
    </row>
    <row r="48" spans="1:19" x14ac:dyDescent="0.25">
      <c r="A48" t="s">
        <v>137</v>
      </c>
      <c r="B48" s="1">
        <v>45060</v>
      </c>
      <c r="C48" t="s">
        <v>29</v>
      </c>
      <c r="D48" t="s">
        <v>62</v>
      </c>
      <c r="E48" t="s">
        <v>66</v>
      </c>
      <c r="F48" t="s">
        <v>55</v>
      </c>
      <c r="G48" t="s">
        <v>67</v>
      </c>
      <c r="H48" t="s">
        <v>57</v>
      </c>
      <c r="I48" t="s">
        <v>34</v>
      </c>
      <c r="J48" t="s">
        <v>35</v>
      </c>
      <c r="K48" t="s">
        <v>36</v>
      </c>
      <c r="L48">
        <v>73.2</v>
      </c>
      <c r="M48">
        <v>2</v>
      </c>
      <c r="N48" s="2">
        <v>0.2</v>
      </c>
      <c r="O48">
        <v>146.4</v>
      </c>
      <c r="P48">
        <v>29.28</v>
      </c>
      <c r="Q48">
        <f>Sheet1__3_1_1_1[[#This Row],[Gross_Revenue]]-Sheet1__3_1_1_1[[#This Row],[Discount_Amount]]</f>
        <v>117.12</v>
      </c>
      <c r="R48">
        <v>49.19</v>
      </c>
      <c r="S48">
        <f>Sheet1__3_1_1_1[[#This Row],[Net_Revenue]]-Sheet1__3_1_1_1[[#This Row],[COGS]]</f>
        <v>67.930000000000007</v>
      </c>
    </row>
    <row r="49" spans="1:19" x14ac:dyDescent="0.25">
      <c r="A49" t="s">
        <v>138</v>
      </c>
      <c r="B49" s="1">
        <v>44587</v>
      </c>
      <c r="C49" t="s">
        <v>99</v>
      </c>
      <c r="D49" t="s">
        <v>100</v>
      </c>
      <c r="E49" t="s">
        <v>21</v>
      </c>
      <c r="F49" t="s">
        <v>55</v>
      </c>
      <c r="G49" t="s">
        <v>83</v>
      </c>
      <c r="H49" t="s">
        <v>59</v>
      </c>
      <c r="I49" t="s">
        <v>60</v>
      </c>
      <c r="J49" t="s">
        <v>35</v>
      </c>
      <c r="K49" t="s">
        <v>36</v>
      </c>
      <c r="L49">
        <v>48.13</v>
      </c>
      <c r="M49">
        <v>2</v>
      </c>
      <c r="N49" s="2">
        <v>0</v>
      </c>
      <c r="O49">
        <v>96.26</v>
      </c>
      <c r="P49">
        <v>0</v>
      </c>
      <c r="Q49">
        <f>Sheet1__3_1_1_1[[#This Row],[Gross_Revenue]]-Sheet1__3_1_1_1[[#This Row],[Discount_Amount]]</f>
        <v>96.26</v>
      </c>
      <c r="R49">
        <v>40.43</v>
      </c>
      <c r="S49">
        <f>Sheet1__3_1_1_1[[#This Row],[Net_Revenue]]-Sheet1__3_1_1_1[[#This Row],[COGS]]</f>
        <v>55.830000000000005</v>
      </c>
    </row>
    <row r="50" spans="1:19" x14ac:dyDescent="0.25">
      <c r="A50" t="s">
        <v>139</v>
      </c>
      <c r="B50" s="1">
        <v>44787</v>
      </c>
      <c r="C50" t="s">
        <v>19</v>
      </c>
      <c r="D50" t="s">
        <v>91</v>
      </c>
      <c r="E50" t="s">
        <v>39</v>
      </c>
      <c r="F50" t="s">
        <v>69</v>
      </c>
      <c r="G50" t="s">
        <v>126</v>
      </c>
      <c r="H50" t="s">
        <v>47</v>
      </c>
      <c r="I50" t="s">
        <v>42</v>
      </c>
      <c r="J50" t="s">
        <v>35</v>
      </c>
      <c r="K50" t="s">
        <v>53</v>
      </c>
      <c r="L50">
        <v>26.75</v>
      </c>
      <c r="M50">
        <v>4</v>
      </c>
      <c r="N50" s="2">
        <v>0.1</v>
      </c>
      <c r="O50">
        <v>107</v>
      </c>
      <c r="P50">
        <v>10.700000000000001</v>
      </c>
      <c r="Q50">
        <f>Sheet1__3_1_1_1[[#This Row],[Gross_Revenue]]-Sheet1__3_1_1_1[[#This Row],[Discount_Amount]]</f>
        <v>96.3</v>
      </c>
      <c r="R50">
        <v>36.590000000000003</v>
      </c>
      <c r="S50">
        <f>Sheet1__3_1_1_1[[#This Row],[Net_Revenue]]-Sheet1__3_1_1_1[[#This Row],[COGS]]</f>
        <v>59.709999999999994</v>
      </c>
    </row>
    <row r="51" spans="1:19" x14ac:dyDescent="0.25">
      <c r="A51" t="s">
        <v>140</v>
      </c>
      <c r="B51" s="1">
        <v>44909</v>
      </c>
      <c r="C51" t="s">
        <v>77</v>
      </c>
      <c r="D51" t="s">
        <v>110</v>
      </c>
      <c r="E51" t="s">
        <v>39</v>
      </c>
      <c r="F51" t="s">
        <v>31</v>
      </c>
      <c r="G51" t="s">
        <v>93</v>
      </c>
      <c r="H51" t="s">
        <v>52</v>
      </c>
      <c r="I51" t="s">
        <v>42</v>
      </c>
      <c r="J51" t="s">
        <v>94</v>
      </c>
      <c r="K51" t="s">
        <v>36</v>
      </c>
      <c r="L51">
        <v>140.09</v>
      </c>
      <c r="M51">
        <v>8</v>
      </c>
      <c r="N51" s="2">
        <v>0.1</v>
      </c>
      <c r="O51">
        <v>1120.72</v>
      </c>
      <c r="P51">
        <v>112.072</v>
      </c>
      <c r="Q51">
        <f>Sheet1__3_1_1_1[[#This Row],[Gross_Revenue]]-Sheet1__3_1_1_1[[#This Row],[Discount_Amount]]</f>
        <v>1008.648</v>
      </c>
      <c r="R51">
        <v>484.15</v>
      </c>
      <c r="S51">
        <f>Sheet1__3_1_1_1[[#This Row],[Net_Revenue]]-Sheet1__3_1_1_1[[#This Row],[COGS]]</f>
        <v>524.49800000000005</v>
      </c>
    </row>
    <row r="52" spans="1:19" x14ac:dyDescent="0.25">
      <c r="A52" t="s">
        <v>141</v>
      </c>
      <c r="B52" s="1">
        <v>44626</v>
      </c>
      <c r="C52" t="s">
        <v>19</v>
      </c>
      <c r="D52" t="s">
        <v>130</v>
      </c>
      <c r="E52" t="s">
        <v>21</v>
      </c>
      <c r="F52" t="s">
        <v>55</v>
      </c>
      <c r="G52" t="s">
        <v>103</v>
      </c>
      <c r="H52" t="s">
        <v>47</v>
      </c>
      <c r="I52" t="s">
        <v>48</v>
      </c>
      <c r="J52" t="s">
        <v>49</v>
      </c>
      <c r="K52" t="s">
        <v>53</v>
      </c>
      <c r="L52">
        <v>164.93</v>
      </c>
      <c r="M52">
        <v>6</v>
      </c>
      <c r="N52" s="2">
        <v>0.2</v>
      </c>
      <c r="O52">
        <v>989.58</v>
      </c>
      <c r="P52">
        <v>197.91600000000003</v>
      </c>
      <c r="Q52">
        <f>Sheet1__3_1_1_1[[#This Row],[Gross_Revenue]]-Sheet1__3_1_1_1[[#This Row],[Discount_Amount]]</f>
        <v>791.66399999999999</v>
      </c>
      <c r="R52">
        <v>332.5</v>
      </c>
      <c r="S52">
        <f>Sheet1__3_1_1_1[[#This Row],[Net_Revenue]]-Sheet1__3_1_1_1[[#This Row],[COGS]]</f>
        <v>459.16399999999999</v>
      </c>
    </row>
    <row r="53" spans="1:19" x14ac:dyDescent="0.25">
      <c r="A53" t="s">
        <v>142</v>
      </c>
      <c r="B53" s="1">
        <v>44732</v>
      </c>
      <c r="C53" t="s">
        <v>19</v>
      </c>
      <c r="D53" t="s">
        <v>91</v>
      </c>
      <c r="E53" t="s">
        <v>66</v>
      </c>
      <c r="F53" t="s">
        <v>79</v>
      </c>
      <c r="G53" t="s">
        <v>80</v>
      </c>
      <c r="H53" t="s">
        <v>52</v>
      </c>
      <c r="I53" t="s">
        <v>48</v>
      </c>
      <c r="J53" t="s">
        <v>35</v>
      </c>
      <c r="K53" t="s">
        <v>143</v>
      </c>
      <c r="L53">
        <v>639.79999999999995</v>
      </c>
      <c r="M53">
        <v>7</v>
      </c>
      <c r="N53" s="2">
        <v>0.2</v>
      </c>
      <c r="O53">
        <v>4478.5999999999995</v>
      </c>
      <c r="P53">
        <v>895.71999999999991</v>
      </c>
      <c r="Q53">
        <f>Sheet1__3_1_1_1[[#This Row],[Gross_Revenue]]-Sheet1__3_1_1_1[[#This Row],[Discount_Amount]]</f>
        <v>3582.8799999999997</v>
      </c>
      <c r="R53">
        <v>2221.39</v>
      </c>
      <c r="S53">
        <f>Sheet1__3_1_1_1[[#This Row],[Net_Revenue]]-Sheet1__3_1_1_1[[#This Row],[COGS]]</f>
        <v>1361.4899999999998</v>
      </c>
    </row>
    <row r="54" spans="1:19" x14ac:dyDescent="0.25">
      <c r="A54" t="s">
        <v>144</v>
      </c>
      <c r="B54" s="1">
        <v>44700</v>
      </c>
      <c r="C54" t="s">
        <v>77</v>
      </c>
      <c r="D54" t="s">
        <v>78</v>
      </c>
      <c r="E54" t="s">
        <v>66</v>
      </c>
      <c r="F54" t="s">
        <v>55</v>
      </c>
      <c r="G54" t="s">
        <v>103</v>
      </c>
      <c r="H54" t="s">
        <v>106</v>
      </c>
      <c r="I54" t="s">
        <v>25</v>
      </c>
      <c r="J54" t="s">
        <v>49</v>
      </c>
      <c r="K54" t="s">
        <v>143</v>
      </c>
      <c r="L54">
        <v>177.83</v>
      </c>
      <c r="M54">
        <v>6</v>
      </c>
      <c r="N54" s="2">
        <v>0</v>
      </c>
      <c r="O54">
        <v>1066.98</v>
      </c>
      <c r="P54">
        <v>0</v>
      </c>
      <c r="Q54">
        <f>Sheet1__3_1_1_1[[#This Row],[Gross_Revenue]]-Sheet1__3_1_1_1[[#This Row],[Discount_Amount]]</f>
        <v>1066.98</v>
      </c>
      <c r="R54">
        <v>448.13</v>
      </c>
      <c r="S54">
        <f>Sheet1__3_1_1_1[[#This Row],[Net_Revenue]]-Sheet1__3_1_1_1[[#This Row],[COGS]]</f>
        <v>618.85</v>
      </c>
    </row>
    <row r="55" spans="1:19" x14ac:dyDescent="0.25">
      <c r="A55" t="s">
        <v>145</v>
      </c>
      <c r="B55" s="1">
        <v>44595</v>
      </c>
      <c r="C55" t="s">
        <v>77</v>
      </c>
      <c r="D55" t="s">
        <v>82</v>
      </c>
      <c r="E55" t="s">
        <v>66</v>
      </c>
      <c r="F55" t="s">
        <v>69</v>
      </c>
      <c r="G55" t="s">
        <v>70</v>
      </c>
      <c r="H55" t="s">
        <v>59</v>
      </c>
      <c r="I55" t="s">
        <v>60</v>
      </c>
      <c r="J55" t="s">
        <v>35</v>
      </c>
      <c r="K55" t="s">
        <v>36</v>
      </c>
      <c r="L55">
        <v>390.67</v>
      </c>
      <c r="M55">
        <v>15</v>
      </c>
      <c r="N55" s="2">
        <v>0.2</v>
      </c>
      <c r="O55">
        <v>5860.05</v>
      </c>
      <c r="P55">
        <v>1172.01</v>
      </c>
      <c r="Q55">
        <f>Sheet1__3_1_1_1[[#This Row],[Gross_Revenue]]-Sheet1__3_1_1_1[[#This Row],[Discount_Amount]]</f>
        <v>4688.04</v>
      </c>
      <c r="R55">
        <v>1781.46</v>
      </c>
      <c r="S55">
        <f>Sheet1__3_1_1_1[[#This Row],[Net_Revenue]]-Sheet1__3_1_1_1[[#This Row],[COGS]]</f>
        <v>2906.58</v>
      </c>
    </row>
    <row r="56" spans="1:19" x14ac:dyDescent="0.25">
      <c r="A56" t="s">
        <v>146</v>
      </c>
      <c r="B56" s="1">
        <v>45054</v>
      </c>
      <c r="C56" t="s">
        <v>29</v>
      </c>
      <c r="D56" t="s">
        <v>30</v>
      </c>
      <c r="E56" t="s">
        <v>39</v>
      </c>
      <c r="F56" t="s">
        <v>55</v>
      </c>
      <c r="G56" t="s">
        <v>67</v>
      </c>
      <c r="H56" t="s">
        <v>57</v>
      </c>
      <c r="I56" t="s">
        <v>25</v>
      </c>
      <c r="J56" t="s">
        <v>89</v>
      </c>
      <c r="K56" t="s">
        <v>36</v>
      </c>
      <c r="L56">
        <v>82.07</v>
      </c>
      <c r="M56">
        <v>6</v>
      </c>
      <c r="N56" s="2">
        <v>0.15</v>
      </c>
      <c r="O56">
        <v>492.41999999999996</v>
      </c>
      <c r="P56">
        <v>73.862999999999985</v>
      </c>
      <c r="Q56">
        <f>Sheet1__3_1_1_1[[#This Row],[Gross_Revenue]]-Sheet1__3_1_1_1[[#This Row],[Discount_Amount]]</f>
        <v>418.55699999999996</v>
      </c>
      <c r="R56">
        <v>175.8</v>
      </c>
      <c r="S56">
        <f>Sheet1__3_1_1_1[[#This Row],[Net_Revenue]]-Sheet1__3_1_1_1[[#This Row],[COGS]]</f>
        <v>242.75699999999995</v>
      </c>
    </row>
    <row r="57" spans="1:19" x14ac:dyDescent="0.25">
      <c r="A57" t="s">
        <v>147</v>
      </c>
      <c r="B57" s="1">
        <v>45217</v>
      </c>
      <c r="C57" t="s">
        <v>99</v>
      </c>
      <c r="D57" t="s">
        <v>148</v>
      </c>
      <c r="E57" t="s">
        <v>39</v>
      </c>
      <c r="F57" t="s">
        <v>22</v>
      </c>
      <c r="G57" t="s">
        <v>149</v>
      </c>
      <c r="H57" t="s">
        <v>33</v>
      </c>
      <c r="I57" t="s">
        <v>25</v>
      </c>
      <c r="J57" t="s">
        <v>49</v>
      </c>
      <c r="K57" t="s">
        <v>36</v>
      </c>
      <c r="L57">
        <v>27.31</v>
      </c>
      <c r="M57">
        <v>7</v>
      </c>
      <c r="N57" s="2">
        <v>0</v>
      </c>
      <c r="O57">
        <v>191.17</v>
      </c>
      <c r="P57">
        <v>0</v>
      </c>
      <c r="Q57">
        <f>Sheet1__3_1_1_1[[#This Row],[Gross_Revenue]]-Sheet1__3_1_1_1[[#This Row],[Discount_Amount]]</f>
        <v>191.17</v>
      </c>
      <c r="R57">
        <v>105.14</v>
      </c>
      <c r="S57">
        <f>Sheet1__3_1_1_1[[#This Row],[Net_Revenue]]-Sheet1__3_1_1_1[[#This Row],[COGS]]</f>
        <v>86.029999999999987</v>
      </c>
    </row>
    <row r="58" spans="1:19" x14ac:dyDescent="0.25">
      <c r="A58" t="s">
        <v>150</v>
      </c>
      <c r="B58" s="1">
        <v>44608</v>
      </c>
      <c r="C58" t="s">
        <v>29</v>
      </c>
      <c r="D58" t="s">
        <v>62</v>
      </c>
      <c r="E58" t="s">
        <v>39</v>
      </c>
      <c r="F58" t="s">
        <v>69</v>
      </c>
      <c r="G58" t="s">
        <v>70</v>
      </c>
      <c r="H58" t="s">
        <v>106</v>
      </c>
      <c r="I58" t="s">
        <v>25</v>
      </c>
      <c r="J58" t="s">
        <v>94</v>
      </c>
      <c r="K58" t="s">
        <v>36</v>
      </c>
      <c r="L58">
        <v>361.61</v>
      </c>
      <c r="M58">
        <v>24</v>
      </c>
      <c r="N58" s="2">
        <v>0</v>
      </c>
      <c r="O58">
        <v>8678.64</v>
      </c>
      <c r="P58">
        <v>0</v>
      </c>
      <c r="Q58">
        <f>Sheet1__3_1_1_1[[#This Row],[Gross_Revenue]]-Sheet1__3_1_1_1[[#This Row],[Discount_Amount]]</f>
        <v>8678.64</v>
      </c>
      <c r="R58">
        <v>3297.88</v>
      </c>
      <c r="S58">
        <f>Sheet1__3_1_1_1[[#This Row],[Net_Revenue]]-Sheet1__3_1_1_1[[#This Row],[COGS]]</f>
        <v>5380.7599999999993</v>
      </c>
    </row>
    <row r="59" spans="1:19" x14ac:dyDescent="0.25">
      <c r="A59" t="s">
        <v>151</v>
      </c>
      <c r="B59" s="1">
        <v>45241</v>
      </c>
      <c r="C59" t="s">
        <v>99</v>
      </c>
      <c r="D59" t="s">
        <v>148</v>
      </c>
      <c r="E59" t="s">
        <v>39</v>
      </c>
      <c r="F59" t="s">
        <v>79</v>
      </c>
      <c r="G59" t="s">
        <v>80</v>
      </c>
      <c r="H59" t="s">
        <v>47</v>
      </c>
      <c r="I59" t="s">
        <v>48</v>
      </c>
      <c r="J59" t="s">
        <v>26</v>
      </c>
      <c r="K59" t="s">
        <v>36</v>
      </c>
      <c r="L59">
        <v>533.92999999999995</v>
      </c>
      <c r="M59">
        <v>8</v>
      </c>
      <c r="N59" s="2">
        <v>0</v>
      </c>
      <c r="O59">
        <v>4271.4399999999996</v>
      </c>
      <c r="P59">
        <v>0</v>
      </c>
      <c r="Q59">
        <f>Sheet1__3_1_1_1[[#This Row],[Gross_Revenue]]-Sheet1__3_1_1_1[[#This Row],[Discount_Amount]]</f>
        <v>4271.4399999999996</v>
      </c>
      <c r="R59">
        <v>2648.29</v>
      </c>
      <c r="S59">
        <f>Sheet1__3_1_1_1[[#This Row],[Net_Revenue]]-Sheet1__3_1_1_1[[#This Row],[COGS]]</f>
        <v>1623.1499999999996</v>
      </c>
    </row>
    <row r="60" spans="1:19" x14ac:dyDescent="0.25">
      <c r="A60" t="s">
        <v>152</v>
      </c>
      <c r="B60" s="1">
        <v>44823</v>
      </c>
      <c r="C60" t="s">
        <v>44</v>
      </c>
      <c r="D60" t="s">
        <v>65</v>
      </c>
      <c r="E60" t="s">
        <v>63</v>
      </c>
      <c r="F60" t="s">
        <v>55</v>
      </c>
      <c r="G60" t="s">
        <v>83</v>
      </c>
      <c r="H60" t="s">
        <v>111</v>
      </c>
      <c r="I60" t="s">
        <v>25</v>
      </c>
      <c r="J60" t="s">
        <v>94</v>
      </c>
      <c r="K60" t="s">
        <v>53</v>
      </c>
      <c r="L60">
        <v>54.55</v>
      </c>
      <c r="M60">
        <v>5</v>
      </c>
      <c r="N60" s="2">
        <v>0.2</v>
      </c>
      <c r="O60">
        <v>272.75</v>
      </c>
      <c r="P60">
        <v>54.550000000000004</v>
      </c>
      <c r="Q60">
        <f>Sheet1__3_1_1_1[[#This Row],[Gross_Revenue]]-Sheet1__3_1_1_1[[#This Row],[Discount_Amount]]</f>
        <v>218.2</v>
      </c>
      <c r="R60">
        <v>91.64</v>
      </c>
      <c r="S60">
        <f>Sheet1__3_1_1_1[[#This Row],[Net_Revenue]]-Sheet1__3_1_1_1[[#This Row],[COGS]]</f>
        <v>126.55999999999999</v>
      </c>
    </row>
    <row r="61" spans="1:19" x14ac:dyDescent="0.25">
      <c r="A61" t="s">
        <v>153</v>
      </c>
      <c r="B61" s="1">
        <v>44678</v>
      </c>
      <c r="C61" t="s">
        <v>29</v>
      </c>
      <c r="D61" t="s">
        <v>30</v>
      </c>
      <c r="E61" t="s">
        <v>63</v>
      </c>
      <c r="F61" t="s">
        <v>79</v>
      </c>
      <c r="G61" t="s">
        <v>96</v>
      </c>
      <c r="H61" t="s">
        <v>71</v>
      </c>
      <c r="I61" t="s">
        <v>48</v>
      </c>
      <c r="J61" t="s">
        <v>94</v>
      </c>
      <c r="K61" t="s">
        <v>36</v>
      </c>
      <c r="L61" t="s">
        <v>1147</v>
      </c>
      <c r="M61">
        <v>7</v>
      </c>
      <c r="N61" s="2">
        <v>0.05</v>
      </c>
      <c r="O61">
        <v>0</v>
      </c>
      <c r="P61">
        <v>0</v>
      </c>
      <c r="Q61">
        <f>Sheet1__3_1_1_1[[#This Row],[Gross_Revenue]]-Sheet1__3_1_1_1[[#This Row],[Discount_Amount]]</f>
        <v>0</v>
      </c>
      <c r="R61" t="s">
        <v>1147</v>
      </c>
      <c r="S61" t="e">
        <f>Sheet1__3_1_1_1[[#This Row],[Net_Revenue]]-Sheet1__3_1_1_1[[#This Row],[COGS]]</f>
        <v>#VALUE!</v>
      </c>
    </row>
    <row r="62" spans="1:19" x14ac:dyDescent="0.25">
      <c r="A62" t="s">
        <v>154</v>
      </c>
      <c r="B62" s="1">
        <v>45133</v>
      </c>
      <c r="C62" t="s">
        <v>99</v>
      </c>
      <c r="D62" t="s">
        <v>148</v>
      </c>
      <c r="E62" t="s">
        <v>21</v>
      </c>
      <c r="F62" t="s">
        <v>79</v>
      </c>
      <c r="G62" t="s">
        <v>56</v>
      </c>
      <c r="H62" t="s">
        <v>57</v>
      </c>
      <c r="I62" t="s">
        <v>42</v>
      </c>
      <c r="J62" t="s">
        <v>89</v>
      </c>
      <c r="K62" t="s">
        <v>36</v>
      </c>
      <c r="L62">
        <v>50.03</v>
      </c>
      <c r="M62">
        <v>4</v>
      </c>
      <c r="N62" s="2">
        <v>0</v>
      </c>
      <c r="O62">
        <v>200.12</v>
      </c>
      <c r="P62">
        <v>0</v>
      </c>
      <c r="Q62">
        <f>Sheet1__3_1_1_1[[#This Row],[Gross_Revenue]]-Sheet1__3_1_1_1[[#This Row],[Discount_Amount]]</f>
        <v>200.12</v>
      </c>
      <c r="R62">
        <v>124.07</v>
      </c>
      <c r="S62">
        <f>Sheet1__3_1_1_1[[#This Row],[Net_Revenue]]-Sheet1__3_1_1_1[[#This Row],[COGS]]</f>
        <v>76.050000000000011</v>
      </c>
    </row>
    <row r="63" spans="1:19" x14ac:dyDescent="0.25">
      <c r="A63" t="s">
        <v>155</v>
      </c>
      <c r="B63" s="1">
        <v>44922</v>
      </c>
      <c r="C63" t="s">
        <v>44</v>
      </c>
      <c r="D63" t="s">
        <v>45</v>
      </c>
      <c r="E63" t="s">
        <v>21</v>
      </c>
      <c r="F63" t="s">
        <v>22</v>
      </c>
      <c r="G63" t="s">
        <v>46</v>
      </c>
      <c r="H63" t="s">
        <v>24</v>
      </c>
      <c r="I63" t="s">
        <v>60</v>
      </c>
      <c r="J63" t="s">
        <v>94</v>
      </c>
      <c r="K63" t="s">
        <v>53</v>
      </c>
      <c r="L63">
        <v>16.57</v>
      </c>
      <c r="M63">
        <v>20</v>
      </c>
      <c r="N63" s="2">
        <v>0</v>
      </c>
      <c r="O63">
        <v>331.4</v>
      </c>
      <c r="P63">
        <v>0</v>
      </c>
      <c r="Q63">
        <f>Sheet1__3_1_1_1[[#This Row],[Gross_Revenue]]-Sheet1__3_1_1_1[[#This Row],[Discount_Amount]]</f>
        <v>331.4</v>
      </c>
      <c r="R63">
        <v>182.27</v>
      </c>
      <c r="S63">
        <f>Sheet1__3_1_1_1[[#This Row],[Net_Revenue]]-Sheet1__3_1_1_1[[#This Row],[COGS]]</f>
        <v>149.12999999999997</v>
      </c>
    </row>
    <row r="64" spans="1:19" x14ac:dyDescent="0.25">
      <c r="A64" t="s">
        <v>156</v>
      </c>
      <c r="B64" s="1">
        <v>44861</v>
      </c>
      <c r="C64" t="s">
        <v>19</v>
      </c>
      <c r="D64" t="s">
        <v>20</v>
      </c>
      <c r="E64" t="s">
        <v>63</v>
      </c>
      <c r="F64" t="s">
        <v>69</v>
      </c>
      <c r="G64" t="s">
        <v>73</v>
      </c>
      <c r="H64" t="s">
        <v>52</v>
      </c>
      <c r="I64" t="s">
        <v>34</v>
      </c>
      <c r="J64" t="s">
        <v>35</v>
      </c>
      <c r="K64" t="s">
        <v>53</v>
      </c>
      <c r="L64">
        <v>14.96</v>
      </c>
      <c r="M64">
        <v>28</v>
      </c>
      <c r="N64" s="2">
        <v>0.15</v>
      </c>
      <c r="O64">
        <v>418.88</v>
      </c>
      <c r="P64">
        <v>62.831999999999994</v>
      </c>
      <c r="Q64">
        <f>Sheet1__3_1_1_1[[#This Row],[Gross_Revenue]]-Sheet1__3_1_1_1[[#This Row],[Discount_Amount]]</f>
        <v>356.048</v>
      </c>
      <c r="R64">
        <v>135.30000000000001</v>
      </c>
      <c r="S64">
        <f>Sheet1__3_1_1_1[[#This Row],[Net_Revenue]]-Sheet1__3_1_1_1[[#This Row],[COGS]]</f>
        <v>220.74799999999999</v>
      </c>
    </row>
    <row r="65" spans="1:19" x14ac:dyDescent="0.25">
      <c r="A65" t="s">
        <v>157</v>
      </c>
      <c r="B65" s="1">
        <v>44596</v>
      </c>
      <c r="C65" t="s">
        <v>44</v>
      </c>
      <c r="D65" t="s">
        <v>45</v>
      </c>
      <c r="E65" t="s">
        <v>66</v>
      </c>
      <c r="F65" t="s">
        <v>31</v>
      </c>
      <c r="G65" t="s">
        <v>40</v>
      </c>
      <c r="H65" t="s">
        <v>71</v>
      </c>
      <c r="I65" t="s">
        <v>42</v>
      </c>
      <c r="J65" t="s">
        <v>94</v>
      </c>
      <c r="K65" t="s">
        <v>36</v>
      </c>
      <c r="L65">
        <v>198.63</v>
      </c>
      <c r="M65">
        <v>6</v>
      </c>
      <c r="N65" s="2">
        <v>0.1</v>
      </c>
      <c r="O65">
        <v>1191.78</v>
      </c>
      <c r="P65">
        <v>119.178</v>
      </c>
      <c r="Q65">
        <f>Sheet1__3_1_1_1[[#This Row],[Gross_Revenue]]-Sheet1__3_1_1_1[[#This Row],[Discount_Amount]]</f>
        <v>1072.6019999999999</v>
      </c>
      <c r="R65">
        <v>514.85</v>
      </c>
      <c r="S65">
        <f>Sheet1__3_1_1_1[[#This Row],[Net_Revenue]]-Sheet1__3_1_1_1[[#This Row],[COGS]]</f>
        <v>557.75199999999984</v>
      </c>
    </row>
    <row r="66" spans="1:19" x14ac:dyDescent="0.25">
      <c r="A66" t="s">
        <v>158</v>
      </c>
      <c r="B66" s="1">
        <v>44969</v>
      </c>
      <c r="C66" t="s">
        <v>44</v>
      </c>
      <c r="D66" t="s">
        <v>45</v>
      </c>
      <c r="E66" t="s">
        <v>63</v>
      </c>
      <c r="F66" t="s">
        <v>69</v>
      </c>
      <c r="G66" t="s">
        <v>101</v>
      </c>
      <c r="H66" t="s">
        <v>52</v>
      </c>
      <c r="I66" t="s">
        <v>60</v>
      </c>
      <c r="J66" t="s">
        <v>26</v>
      </c>
      <c r="K66" t="s">
        <v>36</v>
      </c>
      <c r="L66">
        <v>9.57</v>
      </c>
      <c r="M66">
        <v>11</v>
      </c>
      <c r="N66" s="2">
        <v>0</v>
      </c>
      <c r="O66">
        <v>105.27000000000001</v>
      </c>
      <c r="P66">
        <v>0</v>
      </c>
      <c r="Q66">
        <f>Sheet1__3_1_1_1[[#This Row],[Gross_Revenue]]-Sheet1__3_1_1_1[[#This Row],[Discount_Amount]]</f>
        <v>105.27000000000001</v>
      </c>
      <c r="R66">
        <v>40</v>
      </c>
      <c r="S66">
        <f>Sheet1__3_1_1_1[[#This Row],[Net_Revenue]]-Sheet1__3_1_1_1[[#This Row],[COGS]]</f>
        <v>65.27000000000001</v>
      </c>
    </row>
    <row r="67" spans="1:19" x14ac:dyDescent="0.25">
      <c r="A67" t="s">
        <v>159</v>
      </c>
      <c r="B67" s="1">
        <v>44743</v>
      </c>
      <c r="C67" t="s">
        <v>77</v>
      </c>
      <c r="D67" t="s">
        <v>82</v>
      </c>
      <c r="E67" t="s">
        <v>66</v>
      </c>
      <c r="F67" t="s">
        <v>69</v>
      </c>
      <c r="G67" t="s">
        <v>70</v>
      </c>
      <c r="H67" t="s">
        <v>111</v>
      </c>
      <c r="I67" t="s">
        <v>60</v>
      </c>
      <c r="J67" t="s">
        <v>35</v>
      </c>
      <c r="K67" t="s">
        <v>27</v>
      </c>
      <c r="L67">
        <v>351.59</v>
      </c>
      <c r="M67">
        <v>9</v>
      </c>
      <c r="N67" s="2">
        <v>0.05</v>
      </c>
      <c r="O67">
        <v>3164.31</v>
      </c>
      <c r="P67">
        <v>158.21550000000002</v>
      </c>
      <c r="Q67">
        <f>Sheet1__3_1_1_1[[#This Row],[Gross_Revenue]]-Sheet1__3_1_1_1[[#This Row],[Discount_Amount]]</f>
        <v>3006.0945000000002</v>
      </c>
      <c r="R67">
        <v>1142.31</v>
      </c>
      <c r="S67">
        <f>Sheet1__3_1_1_1[[#This Row],[Net_Revenue]]-Sheet1__3_1_1_1[[#This Row],[COGS]]</f>
        <v>1863.7845000000002</v>
      </c>
    </row>
    <row r="68" spans="1:19" x14ac:dyDescent="0.25">
      <c r="A68" t="s">
        <v>160</v>
      </c>
      <c r="B68" s="1">
        <v>44691</v>
      </c>
      <c r="C68" t="s">
        <v>29</v>
      </c>
      <c r="D68" t="s">
        <v>30</v>
      </c>
      <c r="E68" t="s">
        <v>21</v>
      </c>
      <c r="F68" t="s">
        <v>79</v>
      </c>
      <c r="G68" t="s">
        <v>56</v>
      </c>
      <c r="H68" t="s">
        <v>59</v>
      </c>
      <c r="I68" t="s">
        <v>60</v>
      </c>
      <c r="J68" t="s">
        <v>89</v>
      </c>
      <c r="K68" t="s">
        <v>36</v>
      </c>
      <c r="L68">
        <v>54.64</v>
      </c>
      <c r="M68">
        <v>2</v>
      </c>
      <c r="N68" s="2">
        <v>0</v>
      </c>
      <c r="O68">
        <v>109.28</v>
      </c>
      <c r="P68">
        <v>0</v>
      </c>
      <c r="Q68">
        <f>Sheet1__3_1_1_1[[#This Row],[Gross_Revenue]]-Sheet1__3_1_1_1[[#This Row],[Discount_Amount]]</f>
        <v>109.28</v>
      </c>
      <c r="R68">
        <v>67.75</v>
      </c>
      <c r="S68">
        <f>Sheet1__3_1_1_1[[#This Row],[Net_Revenue]]-Sheet1__3_1_1_1[[#This Row],[COGS]]</f>
        <v>41.53</v>
      </c>
    </row>
    <row r="69" spans="1:19" x14ac:dyDescent="0.25">
      <c r="A69" t="s">
        <v>161</v>
      </c>
      <c r="B69" s="1">
        <v>44967</v>
      </c>
      <c r="C69" t="s">
        <v>29</v>
      </c>
      <c r="D69" t="s">
        <v>30</v>
      </c>
      <c r="E69" t="s">
        <v>66</v>
      </c>
      <c r="F69" t="s">
        <v>22</v>
      </c>
      <c r="G69" t="s">
        <v>75</v>
      </c>
      <c r="H69" t="s">
        <v>108</v>
      </c>
      <c r="I69" t="s">
        <v>60</v>
      </c>
      <c r="J69" t="s">
        <v>89</v>
      </c>
      <c r="K69" t="s">
        <v>36</v>
      </c>
      <c r="L69">
        <v>8.76</v>
      </c>
      <c r="M69">
        <v>5</v>
      </c>
      <c r="N69" s="2">
        <v>0.15</v>
      </c>
      <c r="O69">
        <v>43.8</v>
      </c>
      <c r="P69">
        <v>6.5699999999999994</v>
      </c>
      <c r="Q69">
        <f>Sheet1__3_1_1_1[[#This Row],[Gross_Revenue]]-Sheet1__3_1_1_1[[#This Row],[Discount_Amount]]</f>
        <v>37.229999999999997</v>
      </c>
      <c r="R69">
        <v>20.48</v>
      </c>
      <c r="S69">
        <f>Sheet1__3_1_1_1[[#This Row],[Net_Revenue]]-Sheet1__3_1_1_1[[#This Row],[COGS]]</f>
        <v>16.749999999999996</v>
      </c>
    </row>
    <row r="70" spans="1:19" x14ac:dyDescent="0.25">
      <c r="A70" t="s">
        <v>162</v>
      </c>
      <c r="B70" s="1">
        <v>44612</v>
      </c>
      <c r="C70" t="s">
        <v>77</v>
      </c>
      <c r="D70" t="s">
        <v>78</v>
      </c>
      <c r="E70" t="s">
        <v>66</v>
      </c>
      <c r="F70" t="s">
        <v>79</v>
      </c>
      <c r="G70" t="s">
        <v>96</v>
      </c>
      <c r="H70" t="s">
        <v>106</v>
      </c>
      <c r="I70" t="s">
        <v>34</v>
      </c>
      <c r="J70" t="s">
        <v>49</v>
      </c>
      <c r="K70" t="s">
        <v>53</v>
      </c>
      <c r="L70">
        <v>436.23</v>
      </c>
      <c r="M70">
        <v>7</v>
      </c>
      <c r="N70" s="2">
        <v>0</v>
      </c>
      <c r="O70">
        <v>3053.61</v>
      </c>
      <c r="P70">
        <v>0</v>
      </c>
      <c r="Q70">
        <f>Sheet1__3_1_1_1[[#This Row],[Gross_Revenue]]-Sheet1__3_1_1_1[[#This Row],[Discount_Amount]]</f>
        <v>3053.61</v>
      </c>
      <c r="R70">
        <v>1893.24</v>
      </c>
      <c r="S70">
        <f>Sheet1__3_1_1_1[[#This Row],[Net_Revenue]]-Sheet1__3_1_1_1[[#This Row],[COGS]]</f>
        <v>1160.3700000000001</v>
      </c>
    </row>
    <row r="71" spans="1:19" x14ac:dyDescent="0.25">
      <c r="A71" t="s">
        <v>163</v>
      </c>
      <c r="B71" s="1">
        <v>44897</v>
      </c>
      <c r="C71" t="s">
        <v>29</v>
      </c>
      <c r="D71" t="s">
        <v>30</v>
      </c>
      <c r="E71" t="s">
        <v>63</v>
      </c>
      <c r="F71" t="s">
        <v>79</v>
      </c>
      <c r="G71" t="s">
        <v>80</v>
      </c>
      <c r="H71" t="s">
        <v>57</v>
      </c>
      <c r="I71" t="s">
        <v>25</v>
      </c>
      <c r="J71" t="s">
        <v>26</v>
      </c>
      <c r="K71" t="s">
        <v>36</v>
      </c>
      <c r="L71">
        <v>572.59</v>
      </c>
      <c r="M71">
        <v>4</v>
      </c>
      <c r="N71" s="2">
        <v>0.05</v>
      </c>
      <c r="O71">
        <v>2290.36</v>
      </c>
      <c r="P71">
        <v>114.51800000000001</v>
      </c>
      <c r="Q71">
        <f>Sheet1__3_1_1_1[[#This Row],[Gross_Revenue]]-Sheet1__3_1_1_1[[#This Row],[Discount_Amount]]</f>
        <v>2175.8420000000001</v>
      </c>
      <c r="R71">
        <v>1349.02</v>
      </c>
      <c r="S71">
        <f>Sheet1__3_1_1_1[[#This Row],[Net_Revenue]]-Sheet1__3_1_1_1[[#This Row],[COGS]]</f>
        <v>826.82200000000012</v>
      </c>
    </row>
    <row r="72" spans="1:19" x14ac:dyDescent="0.25">
      <c r="A72" t="s">
        <v>164</v>
      </c>
      <c r="B72" s="1">
        <v>45194</v>
      </c>
      <c r="C72" t="s">
        <v>77</v>
      </c>
      <c r="D72" t="s">
        <v>78</v>
      </c>
      <c r="E72" t="s">
        <v>63</v>
      </c>
      <c r="F72" t="s">
        <v>55</v>
      </c>
      <c r="G72" t="s">
        <v>67</v>
      </c>
      <c r="H72" t="s">
        <v>87</v>
      </c>
      <c r="I72" t="s">
        <v>48</v>
      </c>
      <c r="J72" t="s">
        <v>49</v>
      </c>
      <c r="K72" t="s">
        <v>53</v>
      </c>
      <c r="L72">
        <v>66.209999999999994</v>
      </c>
      <c r="M72">
        <v>3</v>
      </c>
      <c r="N72" s="2">
        <v>0</v>
      </c>
      <c r="O72">
        <v>198.63</v>
      </c>
      <c r="P72">
        <v>0</v>
      </c>
      <c r="Q72">
        <f>Sheet1__3_1_1_1[[#This Row],[Gross_Revenue]]-Sheet1__3_1_1_1[[#This Row],[Discount_Amount]]</f>
        <v>198.63</v>
      </c>
      <c r="R72">
        <v>83.42</v>
      </c>
      <c r="S72">
        <f>Sheet1__3_1_1_1[[#This Row],[Net_Revenue]]-Sheet1__3_1_1_1[[#This Row],[COGS]]</f>
        <v>115.21</v>
      </c>
    </row>
    <row r="73" spans="1:19" x14ac:dyDescent="0.25">
      <c r="A73" t="s">
        <v>165</v>
      </c>
      <c r="B73" s="1">
        <v>44567</v>
      </c>
      <c r="C73" t="s">
        <v>19</v>
      </c>
      <c r="D73" t="s">
        <v>20</v>
      </c>
      <c r="E73" t="s">
        <v>39</v>
      </c>
      <c r="F73" t="s">
        <v>31</v>
      </c>
      <c r="G73" t="s">
        <v>166</v>
      </c>
      <c r="H73" t="s">
        <v>41</v>
      </c>
      <c r="I73" t="s">
        <v>34</v>
      </c>
      <c r="J73" t="s">
        <v>49</v>
      </c>
      <c r="K73" t="s">
        <v>53</v>
      </c>
      <c r="L73">
        <v>269.42</v>
      </c>
      <c r="M73">
        <v>3</v>
      </c>
      <c r="N73" s="2">
        <v>0.05</v>
      </c>
      <c r="O73">
        <v>808.26</v>
      </c>
      <c r="P73">
        <v>40.413000000000004</v>
      </c>
      <c r="Q73">
        <f>Sheet1__3_1_1_1[[#This Row],[Gross_Revenue]]-Sheet1__3_1_1_1[[#This Row],[Discount_Amount]]</f>
        <v>767.84699999999998</v>
      </c>
      <c r="R73">
        <v>368.57</v>
      </c>
      <c r="S73">
        <f>Sheet1__3_1_1_1[[#This Row],[Net_Revenue]]-Sheet1__3_1_1_1[[#This Row],[COGS]]</f>
        <v>399.27699999999999</v>
      </c>
    </row>
    <row r="74" spans="1:19" x14ac:dyDescent="0.25">
      <c r="A74" t="s">
        <v>167</v>
      </c>
      <c r="B74" s="1">
        <v>45105</v>
      </c>
      <c r="C74" t="s">
        <v>77</v>
      </c>
      <c r="D74" t="s">
        <v>110</v>
      </c>
      <c r="E74" t="s">
        <v>66</v>
      </c>
      <c r="F74" t="s">
        <v>31</v>
      </c>
      <c r="G74" t="s">
        <v>32</v>
      </c>
      <c r="H74" t="s">
        <v>57</v>
      </c>
      <c r="I74" t="s">
        <v>34</v>
      </c>
      <c r="J74" t="s">
        <v>89</v>
      </c>
      <c r="K74" t="s">
        <v>53</v>
      </c>
      <c r="L74">
        <v>398.65</v>
      </c>
      <c r="M74">
        <v>3</v>
      </c>
      <c r="N74" s="2">
        <v>0</v>
      </c>
      <c r="O74">
        <v>1195.9499999999998</v>
      </c>
      <c r="P74">
        <v>0</v>
      </c>
      <c r="Q74">
        <f>Sheet1__3_1_1_1[[#This Row],[Gross_Revenue]]-Sheet1__3_1_1_1[[#This Row],[Discount_Amount]]</f>
        <v>1195.9499999999998</v>
      </c>
      <c r="R74">
        <v>574.05999999999995</v>
      </c>
      <c r="S74">
        <f>Sheet1__3_1_1_1[[#This Row],[Net_Revenue]]-Sheet1__3_1_1_1[[#This Row],[COGS]]</f>
        <v>621.88999999999987</v>
      </c>
    </row>
    <row r="75" spans="1:19" x14ac:dyDescent="0.25">
      <c r="A75" t="s">
        <v>168</v>
      </c>
      <c r="B75" s="1">
        <v>44711</v>
      </c>
      <c r="C75" t="s">
        <v>29</v>
      </c>
      <c r="D75" t="s">
        <v>38</v>
      </c>
      <c r="E75" t="s">
        <v>39</v>
      </c>
      <c r="F75" t="s">
        <v>31</v>
      </c>
      <c r="G75" t="s">
        <v>32</v>
      </c>
      <c r="H75" t="s">
        <v>57</v>
      </c>
      <c r="I75" t="s">
        <v>48</v>
      </c>
      <c r="J75" t="s">
        <v>89</v>
      </c>
      <c r="K75" t="s">
        <v>36</v>
      </c>
      <c r="L75">
        <v>396.03</v>
      </c>
      <c r="M75">
        <v>5</v>
      </c>
      <c r="N75" s="2">
        <v>0.15</v>
      </c>
      <c r="O75">
        <v>1980.1499999999999</v>
      </c>
      <c r="P75">
        <v>297.02249999999998</v>
      </c>
      <c r="Q75">
        <f>Sheet1__3_1_1_1[[#This Row],[Gross_Revenue]]-Sheet1__3_1_1_1[[#This Row],[Discount_Amount]]</f>
        <v>1683.1274999999998</v>
      </c>
      <c r="R75">
        <v>807.9</v>
      </c>
      <c r="S75">
        <f>Sheet1__3_1_1_1[[#This Row],[Net_Revenue]]-Sheet1__3_1_1_1[[#This Row],[COGS]]</f>
        <v>875.22749999999985</v>
      </c>
    </row>
    <row r="76" spans="1:19" x14ac:dyDescent="0.25">
      <c r="A76" t="s">
        <v>169</v>
      </c>
      <c r="B76" s="1">
        <v>45149</v>
      </c>
      <c r="C76" t="s">
        <v>99</v>
      </c>
      <c r="D76" t="s">
        <v>148</v>
      </c>
      <c r="E76" t="s">
        <v>21</v>
      </c>
      <c r="F76" t="s">
        <v>22</v>
      </c>
      <c r="G76" t="s">
        <v>75</v>
      </c>
      <c r="H76" t="s">
        <v>33</v>
      </c>
      <c r="I76" t="s">
        <v>48</v>
      </c>
      <c r="J76" t="s">
        <v>49</v>
      </c>
      <c r="K76" t="s">
        <v>27</v>
      </c>
      <c r="L76">
        <v>8.6199999999999992</v>
      </c>
      <c r="M76">
        <v>9</v>
      </c>
      <c r="N76" s="2">
        <v>0.15</v>
      </c>
      <c r="O76">
        <v>77.58</v>
      </c>
      <c r="P76">
        <v>11.636999999999999</v>
      </c>
      <c r="Q76">
        <f>Sheet1__3_1_1_1[[#This Row],[Gross_Revenue]]-Sheet1__3_1_1_1[[#This Row],[Discount_Amount]]</f>
        <v>65.942999999999998</v>
      </c>
      <c r="R76">
        <v>36.270000000000003</v>
      </c>
      <c r="S76">
        <f>Sheet1__3_1_1_1[[#This Row],[Net_Revenue]]-Sheet1__3_1_1_1[[#This Row],[COGS]]</f>
        <v>29.672999999999995</v>
      </c>
    </row>
    <row r="77" spans="1:19" x14ac:dyDescent="0.25">
      <c r="A77" t="s">
        <v>170</v>
      </c>
      <c r="B77" s="1">
        <v>44657</v>
      </c>
      <c r="C77" t="s">
        <v>44</v>
      </c>
      <c r="D77" t="s">
        <v>45</v>
      </c>
      <c r="E77" t="s">
        <v>63</v>
      </c>
      <c r="F77" t="s">
        <v>69</v>
      </c>
      <c r="G77" t="s">
        <v>70</v>
      </c>
      <c r="H77" t="s">
        <v>59</v>
      </c>
      <c r="I77" t="s">
        <v>34</v>
      </c>
      <c r="J77" t="s">
        <v>49</v>
      </c>
      <c r="K77" t="s">
        <v>36</v>
      </c>
      <c r="L77">
        <v>394.06</v>
      </c>
      <c r="M77">
        <v>7</v>
      </c>
      <c r="N77" s="2">
        <v>0.05</v>
      </c>
      <c r="O77">
        <v>2758.42</v>
      </c>
      <c r="P77">
        <v>137.92100000000002</v>
      </c>
      <c r="Q77">
        <f>Sheet1__3_1_1_1[[#This Row],[Gross_Revenue]]-Sheet1__3_1_1_1[[#This Row],[Discount_Amount]]</f>
        <v>2620.4990000000003</v>
      </c>
      <c r="R77">
        <v>995.79</v>
      </c>
      <c r="S77">
        <f>Sheet1__3_1_1_1[[#This Row],[Net_Revenue]]-Sheet1__3_1_1_1[[#This Row],[COGS]]</f>
        <v>1624.7090000000003</v>
      </c>
    </row>
    <row r="78" spans="1:19" x14ac:dyDescent="0.25">
      <c r="A78" t="s">
        <v>171</v>
      </c>
      <c r="B78" s="1">
        <v>44597</v>
      </c>
      <c r="C78" t="s">
        <v>19</v>
      </c>
      <c r="D78" t="s">
        <v>20</v>
      </c>
      <c r="E78" t="s">
        <v>66</v>
      </c>
      <c r="F78" t="s">
        <v>79</v>
      </c>
      <c r="G78" t="s">
        <v>172</v>
      </c>
      <c r="H78" t="s">
        <v>57</v>
      </c>
      <c r="I78" t="s">
        <v>42</v>
      </c>
      <c r="J78" t="s">
        <v>49</v>
      </c>
      <c r="K78" t="s">
        <v>36</v>
      </c>
      <c r="L78">
        <v>327.58</v>
      </c>
      <c r="M78">
        <v>6</v>
      </c>
      <c r="N78" s="2">
        <v>0</v>
      </c>
      <c r="O78">
        <v>1965.48</v>
      </c>
      <c r="P78">
        <v>0</v>
      </c>
      <c r="Q78">
        <f>Sheet1__3_1_1_1[[#This Row],[Gross_Revenue]]-Sheet1__3_1_1_1[[#This Row],[Discount_Amount]]</f>
        <v>1965.48</v>
      </c>
      <c r="R78">
        <v>1218.5999999999999</v>
      </c>
      <c r="S78">
        <f>Sheet1__3_1_1_1[[#This Row],[Net_Revenue]]-Sheet1__3_1_1_1[[#This Row],[COGS]]</f>
        <v>746.88000000000011</v>
      </c>
    </row>
    <row r="79" spans="1:19" x14ac:dyDescent="0.25">
      <c r="A79" t="s">
        <v>173</v>
      </c>
      <c r="B79" s="1">
        <v>44931</v>
      </c>
      <c r="C79" t="s">
        <v>77</v>
      </c>
      <c r="D79" t="s">
        <v>110</v>
      </c>
      <c r="E79" t="s">
        <v>63</v>
      </c>
      <c r="F79" t="s">
        <v>69</v>
      </c>
      <c r="G79" t="s">
        <v>101</v>
      </c>
      <c r="H79" t="s">
        <v>71</v>
      </c>
      <c r="I79" t="s">
        <v>42</v>
      </c>
      <c r="J79" t="s">
        <v>89</v>
      </c>
      <c r="K79" t="s">
        <v>143</v>
      </c>
      <c r="L79">
        <v>8.44</v>
      </c>
      <c r="M79">
        <v>25</v>
      </c>
      <c r="N79" s="2">
        <v>0.15</v>
      </c>
      <c r="O79">
        <v>211</v>
      </c>
      <c r="P79">
        <v>31.65</v>
      </c>
      <c r="Q79">
        <f>Sheet1__3_1_1_1[[#This Row],[Gross_Revenue]]-Sheet1__3_1_1_1[[#This Row],[Discount_Amount]]</f>
        <v>179.35</v>
      </c>
      <c r="R79">
        <v>68.150000000000006</v>
      </c>
      <c r="S79">
        <f>Sheet1__3_1_1_1[[#This Row],[Net_Revenue]]-Sheet1__3_1_1_1[[#This Row],[COGS]]</f>
        <v>111.19999999999999</v>
      </c>
    </row>
    <row r="80" spans="1:19" x14ac:dyDescent="0.25">
      <c r="A80" t="s">
        <v>174</v>
      </c>
      <c r="B80" s="1">
        <v>44694</v>
      </c>
      <c r="C80" t="s">
        <v>77</v>
      </c>
      <c r="D80" t="s">
        <v>110</v>
      </c>
      <c r="E80" t="s">
        <v>66</v>
      </c>
      <c r="F80" t="s">
        <v>79</v>
      </c>
      <c r="G80" t="s">
        <v>85</v>
      </c>
      <c r="H80" t="s">
        <v>47</v>
      </c>
      <c r="I80" t="s">
        <v>60</v>
      </c>
      <c r="J80" t="s">
        <v>26</v>
      </c>
      <c r="K80" t="s">
        <v>36</v>
      </c>
      <c r="L80">
        <v>832.2</v>
      </c>
      <c r="M80">
        <v>4</v>
      </c>
      <c r="N80" s="2">
        <v>0</v>
      </c>
      <c r="O80">
        <v>3328.8</v>
      </c>
      <c r="P80">
        <v>0</v>
      </c>
      <c r="Q80">
        <f>Sheet1__3_1_1_1[[#This Row],[Gross_Revenue]]-Sheet1__3_1_1_1[[#This Row],[Discount_Amount]]</f>
        <v>3328.8</v>
      </c>
      <c r="R80">
        <v>2063.86</v>
      </c>
      <c r="S80">
        <f>Sheet1__3_1_1_1[[#This Row],[Net_Revenue]]-Sheet1__3_1_1_1[[#This Row],[COGS]]</f>
        <v>1264.94</v>
      </c>
    </row>
    <row r="81" spans="1:19" x14ac:dyDescent="0.25">
      <c r="A81" t="s">
        <v>175</v>
      </c>
      <c r="B81" s="1">
        <v>44802</v>
      </c>
      <c r="C81" t="s">
        <v>19</v>
      </c>
      <c r="D81" t="s">
        <v>20</v>
      </c>
      <c r="E81" t="s">
        <v>66</v>
      </c>
      <c r="F81" t="s">
        <v>69</v>
      </c>
      <c r="G81" t="s">
        <v>101</v>
      </c>
      <c r="H81" t="s">
        <v>87</v>
      </c>
      <c r="I81" t="s">
        <v>60</v>
      </c>
      <c r="J81" t="s">
        <v>26</v>
      </c>
      <c r="K81" t="s">
        <v>143</v>
      </c>
      <c r="L81">
        <v>9.35</v>
      </c>
      <c r="M81">
        <v>19</v>
      </c>
      <c r="N81" s="2">
        <v>0</v>
      </c>
      <c r="O81">
        <v>177.65</v>
      </c>
      <c r="P81">
        <v>0</v>
      </c>
      <c r="Q81">
        <f>Sheet1__3_1_1_1[[#This Row],[Gross_Revenue]]-Sheet1__3_1_1_1[[#This Row],[Discount_Amount]]</f>
        <v>177.65</v>
      </c>
      <c r="R81">
        <v>67.510000000000005</v>
      </c>
      <c r="S81">
        <f>Sheet1__3_1_1_1[[#This Row],[Net_Revenue]]-Sheet1__3_1_1_1[[#This Row],[COGS]]</f>
        <v>110.14</v>
      </c>
    </row>
    <row r="82" spans="1:19" x14ac:dyDescent="0.25">
      <c r="A82" t="s">
        <v>176</v>
      </c>
      <c r="B82" s="1">
        <v>45202</v>
      </c>
      <c r="C82" t="s">
        <v>99</v>
      </c>
      <c r="D82" t="s">
        <v>100</v>
      </c>
      <c r="E82" t="s">
        <v>66</v>
      </c>
      <c r="F82" t="s">
        <v>69</v>
      </c>
      <c r="G82" t="s">
        <v>73</v>
      </c>
      <c r="H82" t="s">
        <v>52</v>
      </c>
      <c r="I82" t="s">
        <v>60</v>
      </c>
      <c r="J82" t="s">
        <v>89</v>
      </c>
      <c r="K82" t="s">
        <v>36</v>
      </c>
      <c r="L82">
        <v>14.16</v>
      </c>
      <c r="M82">
        <v>13</v>
      </c>
      <c r="N82" s="2">
        <v>0</v>
      </c>
      <c r="O82">
        <v>184.08</v>
      </c>
      <c r="P82">
        <v>0</v>
      </c>
      <c r="Q82">
        <f>Sheet1__3_1_1_1[[#This Row],[Gross_Revenue]]-Sheet1__3_1_1_1[[#This Row],[Discount_Amount]]</f>
        <v>184.08</v>
      </c>
      <c r="R82">
        <v>69.95</v>
      </c>
      <c r="S82">
        <f>Sheet1__3_1_1_1[[#This Row],[Net_Revenue]]-Sheet1__3_1_1_1[[#This Row],[COGS]]</f>
        <v>114.13000000000001</v>
      </c>
    </row>
    <row r="83" spans="1:19" x14ac:dyDescent="0.25">
      <c r="A83" t="s">
        <v>177</v>
      </c>
      <c r="B83" s="1">
        <v>45277</v>
      </c>
      <c r="C83" t="s">
        <v>29</v>
      </c>
      <c r="D83" t="s">
        <v>62</v>
      </c>
      <c r="E83" t="s">
        <v>63</v>
      </c>
      <c r="F83" t="s">
        <v>31</v>
      </c>
      <c r="G83" t="s">
        <v>122</v>
      </c>
      <c r="H83" t="s">
        <v>108</v>
      </c>
      <c r="I83" t="s">
        <v>34</v>
      </c>
      <c r="J83" t="s">
        <v>94</v>
      </c>
      <c r="K83" t="s">
        <v>143</v>
      </c>
      <c r="L83">
        <v>515.29</v>
      </c>
      <c r="M83">
        <v>6</v>
      </c>
      <c r="N83" s="2">
        <v>0.05</v>
      </c>
      <c r="O83">
        <v>3091.74</v>
      </c>
      <c r="P83">
        <v>154.58699999999999</v>
      </c>
      <c r="Q83">
        <f>Sheet1__3_1_1_1[[#This Row],[Gross_Revenue]]-Sheet1__3_1_1_1[[#This Row],[Discount_Amount]]</f>
        <v>2937.1529999999998</v>
      </c>
      <c r="R83">
        <v>1409.83</v>
      </c>
      <c r="S83">
        <f>Sheet1__3_1_1_1[[#This Row],[Net_Revenue]]-Sheet1__3_1_1_1[[#This Row],[COGS]]</f>
        <v>1527.3229999999999</v>
      </c>
    </row>
    <row r="84" spans="1:19" x14ac:dyDescent="0.25">
      <c r="A84" t="s">
        <v>178</v>
      </c>
      <c r="B84" s="1">
        <v>45130</v>
      </c>
      <c r="C84" t="s">
        <v>99</v>
      </c>
      <c r="D84" t="s">
        <v>148</v>
      </c>
      <c r="E84" t="s">
        <v>66</v>
      </c>
      <c r="F84" t="s">
        <v>22</v>
      </c>
      <c r="G84" t="s">
        <v>113</v>
      </c>
      <c r="H84" t="s">
        <v>108</v>
      </c>
      <c r="I84" t="s">
        <v>34</v>
      </c>
      <c r="J84" t="s">
        <v>89</v>
      </c>
      <c r="K84" t="s">
        <v>36</v>
      </c>
      <c r="L84">
        <v>11.99</v>
      </c>
      <c r="M84">
        <v>6</v>
      </c>
      <c r="N84" s="2">
        <v>0.2</v>
      </c>
      <c r="O84">
        <v>71.94</v>
      </c>
      <c r="P84">
        <v>14.388</v>
      </c>
      <c r="Q84">
        <f>Sheet1__3_1_1_1[[#This Row],[Gross_Revenue]]-Sheet1__3_1_1_1[[#This Row],[Discount_Amount]]</f>
        <v>57.552</v>
      </c>
      <c r="R84">
        <v>31.65</v>
      </c>
      <c r="S84">
        <f>Sheet1__3_1_1_1[[#This Row],[Net_Revenue]]-Sheet1__3_1_1_1[[#This Row],[COGS]]</f>
        <v>25.902000000000001</v>
      </c>
    </row>
    <row r="85" spans="1:19" x14ac:dyDescent="0.25">
      <c r="A85" t="s">
        <v>179</v>
      </c>
      <c r="B85" s="1">
        <v>45163</v>
      </c>
      <c r="C85" t="s">
        <v>29</v>
      </c>
      <c r="D85" t="s">
        <v>30</v>
      </c>
      <c r="E85" t="s">
        <v>63</v>
      </c>
      <c r="F85" t="s">
        <v>69</v>
      </c>
      <c r="G85" t="s">
        <v>70</v>
      </c>
      <c r="H85" t="s">
        <v>33</v>
      </c>
      <c r="I85" t="s">
        <v>60</v>
      </c>
      <c r="J85" t="s">
        <v>26</v>
      </c>
      <c r="K85" t="s">
        <v>27</v>
      </c>
      <c r="L85">
        <v>358.03</v>
      </c>
      <c r="M85">
        <v>11</v>
      </c>
      <c r="N85" s="2">
        <v>0</v>
      </c>
      <c r="O85">
        <v>3938.33</v>
      </c>
      <c r="P85">
        <v>0</v>
      </c>
      <c r="Q85">
        <f>Sheet1__3_1_1_1[[#This Row],[Gross_Revenue]]-Sheet1__3_1_1_1[[#This Row],[Discount_Amount]]</f>
        <v>3938.33</v>
      </c>
      <c r="R85">
        <v>1496.57</v>
      </c>
      <c r="S85">
        <f>Sheet1__3_1_1_1[[#This Row],[Net_Revenue]]-Sheet1__3_1_1_1[[#This Row],[COGS]]</f>
        <v>2441.7600000000002</v>
      </c>
    </row>
    <row r="86" spans="1:19" x14ac:dyDescent="0.25">
      <c r="A86" t="s">
        <v>180</v>
      </c>
      <c r="B86" s="1">
        <v>44608</v>
      </c>
      <c r="C86" t="s">
        <v>19</v>
      </c>
      <c r="D86" t="s">
        <v>20</v>
      </c>
      <c r="E86" t="s">
        <v>63</v>
      </c>
      <c r="F86" t="s">
        <v>55</v>
      </c>
      <c r="G86" t="s">
        <v>67</v>
      </c>
      <c r="H86" t="s">
        <v>33</v>
      </c>
      <c r="I86" t="s">
        <v>25</v>
      </c>
      <c r="J86" t="s">
        <v>94</v>
      </c>
      <c r="K86" t="s">
        <v>143</v>
      </c>
      <c r="L86">
        <v>69.25</v>
      </c>
      <c r="M86">
        <v>8</v>
      </c>
      <c r="N86" s="2">
        <v>0.15</v>
      </c>
      <c r="O86">
        <v>554</v>
      </c>
      <c r="P86">
        <v>83.1</v>
      </c>
      <c r="Q86">
        <f>Sheet1__3_1_1_1[[#This Row],[Gross_Revenue]]-Sheet1__3_1_1_1[[#This Row],[Discount_Amount]]</f>
        <v>470.9</v>
      </c>
      <c r="R86">
        <v>197.78</v>
      </c>
      <c r="S86">
        <f>Sheet1__3_1_1_1[[#This Row],[Net_Revenue]]-Sheet1__3_1_1_1[[#This Row],[COGS]]</f>
        <v>273.12</v>
      </c>
    </row>
    <row r="87" spans="1:19" x14ac:dyDescent="0.25">
      <c r="A87" t="s">
        <v>181</v>
      </c>
      <c r="B87" s="1">
        <v>45227</v>
      </c>
      <c r="C87" t="s">
        <v>99</v>
      </c>
      <c r="D87" t="s">
        <v>148</v>
      </c>
      <c r="E87" t="s">
        <v>66</v>
      </c>
      <c r="F87" t="s">
        <v>55</v>
      </c>
      <c r="G87" t="s">
        <v>103</v>
      </c>
      <c r="H87" t="s">
        <v>33</v>
      </c>
      <c r="I87" t="s">
        <v>34</v>
      </c>
      <c r="J87" t="s">
        <v>89</v>
      </c>
      <c r="K87" t="s">
        <v>36</v>
      </c>
      <c r="L87">
        <v>159.27000000000001</v>
      </c>
      <c r="M87">
        <v>1</v>
      </c>
      <c r="N87" s="2">
        <v>0.05</v>
      </c>
      <c r="O87">
        <v>159.27000000000001</v>
      </c>
      <c r="P87">
        <v>7.9635000000000007</v>
      </c>
      <c r="Q87">
        <f>Sheet1__3_1_1_1[[#This Row],[Gross_Revenue]]-Sheet1__3_1_1_1[[#This Row],[Discount_Amount]]</f>
        <v>151.3065</v>
      </c>
      <c r="R87">
        <v>63.55</v>
      </c>
      <c r="S87">
        <f>Sheet1__3_1_1_1[[#This Row],[Net_Revenue]]-Sheet1__3_1_1_1[[#This Row],[COGS]]</f>
        <v>87.756500000000003</v>
      </c>
    </row>
    <row r="88" spans="1:19" x14ac:dyDescent="0.25">
      <c r="A88" t="s">
        <v>182</v>
      </c>
      <c r="B88" s="1">
        <v>44681</v>
      </c>
      <c r="C88" t="s">
        <v>29</v>
      </c>
      <c r="D88" t="s">
        <v>30</v>
      </c>
      <c r="E88" t="s">
        <v>66</v>
      </c>
      <c r="F88" t="s">
        <v>22</v>
      </c>
      <c r="G88" t="s">
        <v>23</v>
      </c>
      <c r="H88" t="s">
        <v>108</v>
      </c>
      <c r="I88" t="s">
        <v>42</v>
      </c>
      <c r="J88" t="s">
        <v>26</v>
      </c>
      <c r="K88" t="s">
        <v>36</v>
      </c>
      <c r="L88">
        <v>16.12</v>
      </c>
      <c r="M88">
        <v>2</v>
      </c>
      <c r="N88" s="2">
        <v>0.15</v>
      </c>
      <c r="O88">
        <v>32.24</v>
      </c>
      <c r="P88">
        <v>4.8360000000000003</v>
      </c>
      <c r="Q88">
        <f>Sheet1__3_1_1_1[[#This Row],[Gross_Revenue]]-Sheet1__3_1_1_1[[#This Row],[Discount_Amount]]</f>
        <v>27.404000000000003</v>
      </c>
      <c r="R88">
        <v>15.07</v>
      </c>
      <c r="S88">
        <f>Sheet1__3_1_1_1[[#This Row],[Net_Revenue]]-Sheet1__3_1_1_1[[#This Row],[COGS]]</f>
        <v>12.334000000000003</v>
      </c>
    </row>
    <row r="89" spans="1:19" x14ac:dyDescent="0.25">
      <c r="A89" t="s">
        <v>183</v>
      </c>
      <c r="B89" s="1">
        <v>44904</v>
      </c>
      <c r="C89" t="s">
        <v>19</v>
      </c>
      <c r="D89" t="s">
        <v>91</v>
      </c>
      <c r="E89" t="s">
        <v>66</v>
      </c>
      <c r="F89" t="s">
        <v>79</v>
      </c>
      <c r="G89" t="s">
        <v>56</v>
      </c>
      <c r="H89" t="s">
        <v>59</v>
      </c>
      <c r="I89" t="s">
        <v>42</v>
      </c>
      <c r="J89" t="s">
        <v>49</v>
      </c>
      <c r="K89" t="s">
        <v>36</v>
      </c>
      <c r="L89">
        <v>55.23</v>
      </c>
      <c r="M89">
        <v>8</v>
      </c>
      <c r="N89" s="2">
        <v>0.2</v>
      </c>
      <c r="O89">
        <v>441.84</v>
      </c>
      <c r="P89">
        <v>88.367999999999995</v>
      </c>
      <c r="Q89">
        <f>Sheet1__3_1_1_1[[#This Row],[Gross_Revenue]]-Sheet1__3_1_1_1[[#This Row],[Discount_Amount]]</f>
        <v>353.47199999999998</v>
      </c>
      <c r="R89">
        <v>219.15</v>
      </c>
      <c r="S89">
        <f>Sheet1__3_1_1_1[[#This Row],[Net_Revenue]]-Sheet1__3_1_1_1[[#This Row],[COGS]]</f>
        <v>134.32199999999997</v>
      </c>
    </row>
    <row r="90" spans="1:19" x14ac:dyDescent="0.25">
      <c r="A90" t="s">
        <v>184</v>
      </c>
      <c r="B90" s="1">
        <v>44617</v>
      </c>
      <c r="C90" t="s">
        <v>19</v>
      </c>
      <c r="D90" t="s">
        <v>91</v>
      </c>
      <c r="E90" t="s">
        <v>63</v>
      </c>
      <c r="F90" t="s">
        <v>55</v>
      </c>
      <c r="G90" t="s">
        <v>83</v>
      </c>
      <c r="H90" t="s">
        <v>71</v>
      </c>
      <c r="I90" t="s">
        <v>48</v>
      </c>
      <c r="J90" t="s">
        <v>94</v>
      </c>
      <c r="K90" t="s">
        <v>36</v>
      </c>
      <c r="L90">
        <v>47.32</v>
      </c>
      <c r="M90">
        <v>3</v>
      </c>
      <c r="N90" s="2">
        <v>0.15</v>
      </c>
      <c r="O90">
        <v>141.96</v>
      </c>
      <c r="P90">
        <v>21.294</v>
      </c>
      <c r="Q90">
        <f>Sheet1__3_1_1_1[[#This Row],[Gross_Revenue]]-Sheet1__3_1_1_1[[#This Row],[Discount_Amount]]</f>
        <v>120.66600000000001</v>
      </c>
      <c r="R90">
        <v>50.68</v>
      </c>
      <c r="S90">
        <f>Sheet1__3_1_1_1[[#This Row],[Net_Revenue]]-Sheet1__3_1_1_1[[#This Row],[COGS]]</f>
        <v>69.986000000000018</v>
      </c>
    </row>
    <row r="91" spans="1:19" x14ac:dyDescent="0.25">
      <c r="A91" t="s">
        <v>185</v>
      </c>
      <c r="B91" s="1">
        <v>44708</v>
      </c>
      <c r="C91" t="s">
        <v>19</v>
      </c>
      <c r="D91" t="s">
        <v>91</v>
      </c>
      <c r="E91" t="s">
        <v>39</v>
      </c>
      <c r="F91" t="s">
        <v>55</v>
      </c>
      <c r="G91" t="s">
        <v>67</v>
      </c>
      <c r="H91" t="s">
        <v>59</v>
      </c>
      <c r="I91" t="s">
        <v>34</v>
      </c>
      <c r="J91" t="s">
        <v>26</v>
      </c>
      <c r="K91" t="s">
        <v>36</v>
      </c>
      <c r="L91">
        <v>75.23</v>
      </c>
      <c r="M91">
        <v>5</v>
      </c>
      <c r="N91" s="2">
        <v>0</v>
      </c>
      <c r="O91">
        <v>376.15000000000003</v>
      </c>
      <c r="P91">
        <v>0</v>
      </c>
      <c r="Q91">
        <f>Sheet1__3_1_1_1[[#This Row],[Gross_Revenue]]-Sheet1__3_1_1_1[[#This Row],[Discount_Amount]]</f>
        <v>376.15000000000003</v>
      </c>
      <c r="R91">
        <v>157.97999999999999</v>
      </c>
      <c r="S91">
        <f>Sheet1__3_1_1_1[[#This Row],[Net_Revenue]]-Sheet1__3_1_1_1[[#This Row],[COGS]]</f>
        <v>218.17000000000004</v>
      </c>
    </row>
    <row r="92" spans="1:19" x14ac:dyDescent="0.25">
      <c r="A92" t="s">
        <v>186</v>
      </c>
      <c r="B92" s="1">
        <v>45249</v>
      </c>
      <c r="C92" t="s">
        <v>29</v>
      </c>
      <c r="D92" t="s">
        <v>30</v>
      </c>
      <c r="E92" t="s">
        <v>63</v>
      </c>
      <c r="F92" t="s">
        <v>31</v>
      </c>
      <c r="G92" t="s">
        <v>32</v>
      </c>
      <c r="H92" t="s">
        <v>71</v>
      </c>
      <c r="I92" t="s">
        <v>34</v>
      </c>
      <c r="J92" t="s">
        <v>49</v>
      </c>
      <c r="K92" t="s">
        <v>27</v>
      </c>
      <c r="L92">
        <v>354.4</v>
      </c>
      <c r="M92">
        <v>6</v>
      </c>
      <c r="N92" s="2">
        <v>0.1</v>
      </c>
      <c r="O92">
        <v>2126.3999999999996</v>
      </c>
      <c r="P92">
        <v>212.64</v>
      </c>
      <c r="Q92">
        <f>Sheet1__3_1_1_1[[#This Row],[Gross_Revenue]]-Sheet1__3_1_1_1[[#This Row],[Discount_Amount]]</f>
        <v>1913.7599999999998</v>
      </c>
      <c r="R92">
        <v>918.6</v>
      </c>
      <c r="S92">
        <f>Sheet1__3_1_1_1[[#This Row],[Net_Revenue]]-Sheet1__3_1_1_1[[#This Row],[COGS]]</f>
        <v>995.15999999999974</v>
      </c>
    </row>
    <row r="93" spans="1:19" x14ac:dyDescent="0.25">
      <c r="A93" t="s">
        <v>187</v>
      </c>
      <c r="B93" s="1">
        <v>44680</v>
      </c>
      <c r="C93" t="s">
        <v>29</v>
      </c>
      <c r="D93" t="s">
        <v>38</v>
      </c>
      <c r="E93" t="s">
        <v>66</v>
      </c>
      <c r="F93" t="s">
        <v>55</v>
      </c>
      <c r="G93" t="s">
        <v>103</v>
      </c>
      <c r="H93" t="s">
        <v>108</v>
      </c>
      <c r="I93" t="s">
        <v>42</v>
      </c>
      <c r="J93" t="s">
        <v>94</v>
      </c>
      <c r="K93" t="s">
        <v>143</v>
      </c>
      <c r="L93">
        <v>160.31</v>
      </c>
      <c r="M93">
        <v>7</v>
      </c>
      <c r="N93" s="2">
        <v>0.05</v>
      </c>
      <c r="O93">
        <v>1122.17</v>
      </c>
      <c r="P93">
        <v>56.108500000000006</v>
      </c>
      <c r="Q93">
        <f>Sheet1__3_1_1_1[[#This Row],[Gross_Revenue]]-Sheet1__3_1_1_1[[#This Row],[Discount_Amount]]</f>
        <v>1066.0615</v>
      </c>
      <c r="R93">
        <v>447.75</v>
      </c>
      <c r="S93">
        <f>Sheet1__3_1_1_1[[#This Row],[Net_Revenue]]-Sheet1__3_1_1_1[[#This Row],[COGS]]</f>
        <v>618.31150000000002</v>
      </c>
    </row>
    <row r="94" spans="1:19" x14ac:dyDescent="0.25">
      <c r="A94" t="s">
        <v>188</v>
      </c>
      <c r="B94" s="1">
        <v>44672</v>
      </c>
      <c r="C94" t="s">
        <v>77</v>
      </c>
      <c r="D94" t="s">
        <v>82</v>
      </c>
      <c r="E94" t="s">
        <v>63</v>
      </c>
      <c r="F94" t="s">
        <v>79</v>
      </c>
      <c r="G94" t="s">
        <v>96</v>
      </c>
      <c r="H94" t="s">
        <v>59</v>
      </c>
      <c r="I94" t="s">
        <v>25</v>
      </c>
      <c r="J94" t="s">
        <v>26</v>
      </c>
      <c r="K94" t="s">
        <v>36</v>
      </c>
      <c r="L94" t="s">
        <v>1147</v>
      </c>
      <c r="M94">
        <v>4</v>
      </c>
      <c r="N94" s="2">
        <v>0</v>
      </c>
      <c r="O94">
        <v>0</v>
      </c>
      <c r="P94">
        <v>0</v>
      </c>
      <c r="Q94">
        <f>Sheet1__3_1_1_1[[#This Row],[Gross_Revenue]]-Sheet1__3_1_1_1[[#This Row],[Discount_Amount]]</f>
        <v>0</v>
      </c>
      <c r="R94" t="s">
        <v>1147</v>
      </c>
      <c r="S94" t="e">
        <f>Sheet1__3_1_1_1[[#This Row],[Net_Revenue]]-Sheet1__3_1_1_1[[#This Row],[COGS]]</f>
        <v>#VALUE!</v>
      </c>
    </row>
    <row r="95" spans="1:19" x14ac:dyDescent="0.25">
      <c r="A95" t="s">
        <v>189</v>
      </c>
      <c r="B95" s="1">
        <v>45126</v>
      </c>
      <c r="C95" t="s">
        <v>44</v>
      </c>
      <c r="D95" t="s">
        <v>65</v>
      </c>
      <c r="E95" t="s">
        <v>21</v>
      </c>
      <c r="F95" t="s">
        <v>69</v>
      </c>
      <c r="G95" t="s">
        <v>190</v>
      </c>
      <c r="H95" t="s">
        <v>106</v>
      </c>
      <c r="I95" t="s">
        <v>60</v>
      </c>
      <c r="J95" t="s">
        <v>89</v>
      </c>
      <c r="K95" t="s">
        <v>53</v>
      </c>
      <c r="L95">
        <v>18.670000000000002</v>
      </c>
      <c r="M95">
        <v>12</v>
      </c>
      <c r="N95" s="2">
        <v>0.2</v>
      </c>
      <c r="O95">
        <v>224.04000000000002</v>
      </c>
      <c r="P95">
        <v>44.808000000000007</v>
      </c>
      <c r="Q95">
        <f>Sheet1__3_1_1_1[[#This Row],[Gross_Revenue]]-Sheet1__3_1_1_1[[#This Row],[Discount_Amount]]</f>
        <v>179.23200000000003</v>
      </c>
      <c r="R95">
        <v>68.11</v>
      </c>
      <c r="S95">
        <f>Sheet1__3_1_1_1[[#This Row],[Net_Revenue]]-Sheet1__3_1_1_1[[#This Row],[COGS]]</f>
        <v>111.12200000000003</v>
      </c>
    </row>
    <row r="96" spans="1:19" x14ac:dyDescent="0.25">
      <c r="A96" t="s">
        <v>191</v>
      </c>
      <c r="B96" s="1">
        <v>45155</v>
      </c>
      <c r="C96" t="s">
        <v>99</v>
      </c>
      <c r="D96" t="s">
        <v>132</v>
      </c>
      <c r="E96" t="s">
        <v>63</v>
      </c>
      <c r="F96" t="s">
        <v>79</v>
      </c>
      <c r="G96" t="s">
        <v>80</v>
      </c>
      <c r="H96" t="s">
        <v>108</v>
      </c>
      <c r="I96" t="s">
        <v>34</v>
      </c>
      <c r="J96" t="s">
        <v>94</v>
      </c>
      <c r="K96" t="s">
        <v>27</v>
      </c>
      <c r="L96">
        <v>568.24</v>
      </c>
      <c r="M96">
        <v>3</v>
      </c>
      <c r="N96" s="2">
        <v>0</v>
      </c>
      <c r="O96">
        <v>1704.72</v>
      </c>
      <c r="P96">
        <v>0</v>
      </c>
      <c r="Q96">
        <f>Sheet1__3_1_1_1[[#This Row],[Gross_Revenue]]-Sheet1__3_1_1_1[[#This Row],[Discount_Amount]]</f>
        <v>1704.72</v>
      </c>
      <c r="R96">
        <v>1056.93</v>
      </c>
      <c r="S96">
        <f>Sheet1__3_1_1_1[[#This Row],[Net_Revenue]]-Sheet1__3_1_1_1[[#This Row],[COGS]]</f>
        <v>647.79</v>
      </c>
    </row>
    <row r="97" spans="1:19" x14ac:dyDescent="0.25">
      <c r="A97" t="s">
        <v>192</v>
      </c>
      <c r="B97" s="1">
        <v>44596</v>
      </c>
      <c r="C97" t="s">
        <v>77</v>
      </c>
      <c r="D97" t="s">
        <v>78</v>
      </c>
      <c r="E97" t="s">
        <v>39</v>
      </c>
      <c r="F97" t="s">
        <v>79</v>
      </c>
      <c r="G97" t="s">
        <v>80</v>
      </c>
      <c r="H97" t="s">
        <v>111</v>
      </c>
      <c r="I97" t="s">
        <v>25</v>
      </c>
      <c r="J97" t="s">
        <v>49</v>
      </c>
      <c r="K97" t="s">
        <v>36</v>
      </c>
      <c r="L97">
        <v>525.79</v>
      </c>
      <c r="M97">
        <v>1</v>
      </c>
      <c r="N97" s="2">
        <v>0.1</v>
      </c>
      <c r="O97">
        <v>525.79</v>
      </c>
      <c r="P97">
        <v>52.579000000000001</v>
      </c>
      <c r="Q97">
        <f>Sheet1__3_1_1_1[[#This Row],[Gross_Revenue]]-Sheet1__3_1_1_1[[#This Row],[Discount_Amount]]</f>
        <v>473.21099999999996</v>
      </c>
      <c r="R97">
        <v>293.39</v>
      </c>
      <c r="S97">
        <f>Sheet1__3_1_1_1[[#This Row],[Net_Revenue]]-Sheet1__3_1_1_1[[#This Row],[COGS]]</f>
        <v>179.82099999999997</v>
      </c>
    </row>
    <row r="98" spans="1:19" x14ac:dyDescent="0.25">
      <c r="A98" t="s">
        <v>193</v>
      </c>
      <c r="B98" s="1">
        <v>44744</v>
      </c>
      <c r="C98" t="s">
        <v>19</v>
      </c>
      <c r="D98" t="s">
        <v>91</v>
      </c>
      <c r="E98" t="s">
        <v>66</v>
      </c>
      <c r="F98" t="s">
        <v>22</v>
      </c>
      <c r="G98" t="s">
        <v>46</v>
      </c>
      <c r="H98" t="s">
        <v>106</v>
      </c>
      <c r="I98" t="s">
        <v>60</v>
      </c>
      <c r="J98" t="s">
        <v>35</v>
      </c>
      <c r="K98" t="s">
        <v>36</v>
      </c>
      <c r="L98">
        <v>16.579999999999998</v>
      </c>
      <c r="M98">
        <v>10</v>
      </c>
      <c r="N98" s="2">
        <v>0</v>
      </c>
      <c r="O98">
        <v>165.79999999999998</v>
      </c>
      <c r="P98">
        <v>0</v>
      </c>
      <c r="Q98">
        <f>Sheet1__3_1_1_1[[#This Row],[Gross_Revenue]]-Sheet1__3_1_1_1[[#This Row],[Discount_Amount]]</f>
        <v>165.79999999999998</v>
      </c>
      <c r="R98">
        <v>91.19</v>
      </c>
      <c r="S98">
        <f>Sheet1__3_1_1_1[[#This Row],[Net_Revenue]]-Sheet1__3_1_1_1[[#This Row],[COGS]]</f>
        <v>74.609999999999985</v>
      </c>
    </row>
    <row r="99" spans="1:19" x14ac:dyDescent="0.25">
      <c r="A99" t="s">
        <v>194</v>
      </c>
      <c r="B99" s="1">
        <v>45031</v>
      </c>
      <c r="C99" t="s">
        <v>44</v>
      </c>
      <c r="D99" t="s">
        <v>45</v>
      </c>
      <c r="E99" t="s">
        <v>21</v>
      </c>
      <c r="F99" t="s">
        <v>31</v>
      </c>
      <c r="G99" t="s">
        <v>166</v>
      </c>
      <c r="H99" t="s">
        <v>24</v>
      </c>
      <c r="I99" t="s">
        <v>42</v>
      </c>
      <c r="J99" t="s">
        <v>35</v>
      </c>
      <c r="K99" t="s">
        <v>36</v>
      </c>
      <c r="L99">
        <v>267.04000000000002</v>
      </c>
      <c r="M99">
        <v>1</v>
      </c>
      <c r="N99" s="2">
        <v>0.05</v>
      </c>
      <c r="O99">
        <v>267.04000000000002</v>
      </c>
      <c r="P99">
        <v>13.352000000000002</v>
      </c>
      <c r="Q99">
        <f>Sheet1__3_1_1_1[[#This Row],[Gross_Revenue]]-Sheet1__3_1_1_1[[#This Row],[Discount_Amount]]</f>
        <v>253.68800000000002</v>
      </c>
      <c r="R99">
        <v>121.77</v>
      </c>
      <c r="S99">
        <f>Sheet1__3_1_1_1[[#This Row],[Net_Revenue]]-Sheet1__3_1_1_1[[#This Row],[COGS]]</f>
        <v>131.91800000000001</v>
      </c>
    </row>
    <row r="100" spans="1:19" x14ac:dyDescent="0.25">
      <c r="A100" t="s">
        <v>195</v>
      </c>
      <c r="B100" s="1">
        <v>44595</v>
      </c>
      <c r="C100" t="s">
        <v>29</v>
      </c>
      <c r="D100" t="s">
        <v>38</v>
      </c>
      <c r="E100" t="s">
        <v>66</v>
      </c>
      <c r="F100" t="s">
        <v>31</v>
      </c>
      <c r="G100" t="s">
        <v>93</v>
      </c>
      <c r="H100" t="s">
        <v>47</v>
      </c>
      <c r="I100" t="s">
        <v>48</v>
      </c>
      <c r="J100" t="s">
        <v>26</v>
      </c>
      <c r="K100" t="s">
        <v>36</v>
      </c>
      <c r="L100">
        <v>172.71</v>
      </c>
      <c r="M100">
        <v>7</v>
      </c>
      <c r="N100" s="2">
        <v>0</v>
      </c>
      <c r="O100">
        <v>1208.97</v>
      </c>
      <c r="P100">
        <v>0</v>
      </c>
      <c r="Q100">
        <f>Sheet1__3_1_1_1[[#This Row],[Gross_Revenue]]-Sheet1__3_1_1_1[[#This Row],[Discount_Amount]]</f>
        <v>1208.97</v>
      </c>
      <c r="R100">
        <v>580.30999999999995</v>
      </c>
      <c r="S100">
        <f>Sheet1__3_1_1_1[[#This Row],[Net_Revenue]]-Sheet1__3_1_1_1[[#This Row],[COGS]]</f>
        <v>628.66000000000008</v>
      </c>
    </row>
    <row r="101" spans="1:19" x14ac:dyDescent="0.25">
      <c r="A101" t="s">
        <v>196</v>
      </c>
      <c r="B101" s="1">
        <v>45081</v>
      </c>
      <c r="C101" t="s">
        <v>29</v>
      </c>
      <c r="D101" t="s">
        <v>30</v>
      </c>
      <c r="E101" t="s">
        <v>63</v>
      </c>
      <c r="F101" t="s">
        <v>55</v>
      </c>
      <c r="G101" t="s">
        <v>103</v>
      </c>
      <c r="H101" t="s">
        <v>111</v>
      </c>
      <c r="I101" t="s">
        <v>34</v>
      </c>
      <c r="J101" t="s">
        <v>26</v>
      </c>
      <c r="K101" t="s">
        <v>36</v>
      </c>
      <c r="L101">
        <v>177.26</v>
      </c>
      <c r="M101">
        <v>2</v>
      </c>
      <c r="N101" s="2">
        <v>0.1</v>
      </c>
      <c r="O101">
        <v>354.52</v>
      </c>
      <c r="P101">
        <v>35.451999999999998</v>
      </c>
      <c r="Q101">
        <f>Sheet1__3_1_1_1[[#This Row],[Gross_Revenue]]-Sheet1__3_1_1_1[[#This Row],[Discount_Amount]]</f>
        <v>319.06799999999998</v>
      </c>
      <c r="R101">
        <v>134.01</v>
      </c>
      <c r="S101">
        <f>Sheet1__3_1_1_1[[#This Row],[Net_Revenue]]-Sheet1__3_1_1_1[[#This Row],[COGS]]</f>
        <v>185.05799999999999</v>
      </c>
    </row>
    <row r="102" spans="1:19" x14ac:dyDescent="0.25">
      <c r="A102" t="s">
        <v>197</v>
      </c>
      <c r="B102" s="1">
        <v>44642</v>
      </c>
      <c r="C102" t="s">
        <v>77</v>
      </c>
      <c r="D102" t="s">
        <v>110</v>
      </c>
      <c r="E102" t="s">
        <v>66</v>
      </c>
      <c r="F102" t="s">
        <v>79</v>
      </c>
      <c r="G102" t="s">
        <v>85</v>
      </c>
      <c r="H102" t="s">
        <v>111</v>
      </c>
      <c r="I102" t="s">
        <v>25</v>
      </c>
      <c r="J102" t="s">
        <v>94</v>
      </c>
      <c r="K102" t="s">
        <v>36</v>
      </c>
      <c r="L102">
        <v>759.16</v>
      </c>
      <c r="M102">
        <v>1</v>
      </c>
      <c r="N102" s="2">
        <v>0.05</v>
      </c>
      <c r="O102">
        <v>759.16</v>
      </c>
      <c r="P102">
        <v>37.957999999999998</v>
      </c>
      <c r="Q102">
        <f>Sheet1__3_1_1_1[[#This Row],[Gross_Revenue]]-Sheet1__3_1_1_1[[#This Row],[Discount_Amount]]</f>
        <v>721.202</v>
      </c>
      <c r="R102">
        <v>447.14</v>
      </c>
      <c r="S102">
        <f>Sheet1__3_1_1_1[[#This Row],[Net_Revenue]]-Sheet1__3_1_1_1[[#This Row],[COGS]]</f>
        <v>274.06200000000001</v>
      </c>
    </row>
    <row r="103" spans="1:19" x14ac:dyDescent="0.25">
      <c r="A103" t="s">
        <v>198</v>
      </c>
      <c r="B103" s="1">
        <v>44654</v>
      </c>
      <c r="C103" t="s">
        <v>19</v>
      </c>
      <c r="D103" t="s">
        <v>20</v>
      </c>
      <c r="E103" t="s">
        <v>63</v>
      </c>
      <c r="F103" t="s">
        <v>69</v>
      </c>
      <c r="G103" t="s">
        <v>101</v>
      </c>
      <c r="H103" t="s">
        <v>108</v>
      </c>
      <c r="I103" t="s">
        <v>42</v>
      </c>
      <c r="J103" t="s">
        <v>35</v>
      </c>
      <c r="K103" t="s">
        <v>36</v>
      </c>
      <c r="L103">
        <v>9.9</v>
      </c>
      <c r="M103">
        <v>22</v>
      </c>
      <c r="N103" s="2">
        <v>0</v>
      </c>
      <c r="O103">
        <v>217.8</v>
      </c>
      <c r="P103">
        <v>0</v>
      </c>
      <c r="Q103">
        <f>Sheet1__3_1_1_1[[#This Row],[Gross_Revenue]]-Sheet1__3_1_1_1[[#This Row],[Discount_Amount]]</f>
        <v>217.8</v>
      </c>
      <c r="R103">
        <v>82.76</v>
      </c>
      <c r="S103">
        <f>Sheet1__3_1_1_1[[#This Row],[Net_Revenue]]-Sheet1__3_1_1_1[[#This Row],[COGS]]</f>
        <v>135.04000000000002</v>
      </c>
    </row>
    <row r="104" spans="1:19" x14ac:dyDescent="0.25">
      <c r="A104" t="s">
        <v>199</v>
      </c>
      <c r="B104" s="1">
        <v>45073</v>
      </c>
      <c r="C104" t="s">
        <v>44</v>
      </c>
      <c r="D104" t="s">
        <v>45</v>
      </c>
      <c r="E104" t="s">
        <v>21</v>
      </c>
      <c r="F104" t="s">
        <v>22</v>
      </c>
      <c r="G104" t="s">
        <v>149</v>
      </c>
      <c r="H104" t="s">
        <v>71</v>
      </c>
      <c r="I104" t="s">
        <v>42</v>
      </c>
      <c r="J104" t="s">
        <v>94</v>
      </c>
      <c r="K104" t="s">
        <v>36</v>
      </c>
      <c r="L104">
        <v>24.81</v>
      </c>
      <c r="M104">
        <v>16</v>
      </c>
      <c r="N104" s="2">
        <v>0</v>
      </c>
      <c r="O104">
        <v>396.96</v>
      </c>
      <c r="P104">
        <v>0</v>
      </c>
      <c r="Q104">
        <f>Sheet1__3_1_1_1[[#This Row],[Gross_Revenue]]-Sheet1__3_1_1_1[[#This Row],[Discount_Amount]]</f>
        <v>396.96</v>
      </c>
      <c r="R104">
        <v>218.33</v>
      </c>
      <c r="S104">
        <f>Sheet1__3_1_1_1[[#This Row],[Net_Revenue]]-Sheet1__3_1_1_1[[#This Row],[COGS]]</f>
        <v>178.62999999999997</v>
      </c>
    </row>
    <row r="105" spans="1:19" x14ac:dyDescent="0.25">
      <c r="A105" t="s">
        <v>200</v>
      </c>
      <c r="B105" s="1">
        <v>44793</v>
      </c>
      <c r="C105" t="s">
        <v>44</v>
      </c>
      <c r="D105" t="s">
        <v>65</v>
      </c>
      <c r="E105" t="s">
        <v>21</v>
      </c>
      <c r="F105" t="s">
        <v>79</v>
      </c>
      <c r="G105" t="s">
        <v>85</v>
      </c>
      <c r="H105" t="s">
        <v>87</v>
      </c>
      <c r="I105" t="s">
        <v>60</v>
      </c>
      <c r="J105" t="s">
        <v>26</v>
      </c>
      <c r="K105" t="s">
        <v>143</v>
      </c>
      <c r="L105">
        <v>1006.31</v>
      </c>
      <c r="M105">
        <v>7</v>
      </c>
      <c r="N105" s="2">
        <v>0</v>
      </c>
      <c r="O105">
        <v>7044.17</v>
      </c>
      <c r="P105">
        <v>0</v>
      </c>
      <c r="Q105">
        <f>Sheet1__3_1_1_1[[#This Row],[Gross_Revenue]]-Sheet1__3_1_1_1[[#This Row],[Discount_Amount]]</f>
        <v>7044.17</v>
      </c>
      <c r="R105">
        <v>4367.3900000000003</v>
      </c>
      <c r="S105">
        <f>Sheet1__3_1_1_1[[#This Row],[Net_Revenue]]-Sheet1__3_1_1_1[[#This Row],[COGS]]</f>
        <v>2676.7799999999997</v>
      </c>
    </row>
    <row r="106" spans="1:19" x14ac:dyDescent="0.25">
      <c r="A106" t="s">
        <v>201</v>
      </c>
      <c r="B106" s="1">
        <v>44775</v>
      </c>
      <c r="C106" t="s">
        <v>99</v>
      </c>
      <c r="D106" t="s">
        <v>100</v>
      </c>
      <c r="E106" t="s">
        <v>66</v>
      </c>
      <c r="F106" t="s">
        <v>55</v>
      </c>
      <c r="G106" t="s">
        <v>83</v>
      </c>
      <c r="H106" t="s">
        <v>41</v>
      </c>
      <c r="I106" t="s">
        <v>34</v>
      </c>
      <c r="J106" t="s">
        <v>89</v>
      </c>
      <c r="K106" t="s">
        <v>36</v>
      </c>
      <c r="L106" t="s">
        <v>1147</v>
      </c>
      <c r="M106">
        <v>3</v>
      </c>
      <c r="N106" s="2">
        <v>0.1</v>
      </c>
      <c r="O106">
        <v>0</v>
      </c>
      <c r="P106">
        <v>0</v>
      </c>
      <c r="Q106">
        <f>Sheet1__3_1_1_1[[#This Row],[Gross_Revenue]]-Sheet1__3_1_1_1[[#This Row],[Discount_Amount]]</f>
        <v>0</v>
      </c>
      <c r="R106" t="s">
        <v>1147</v>
      </c>
      <c r="S106" t="e">
        <f>Sheet1__3_1_1_1[[#This Row],[Net_Revenue]]-Sheet1__3_1_1_1[[#This Row],[COGS]]</f>
        <v>#VALUE!</v>
      </c>
    </row>
    <row r="107" spans="1:19" x14ac:dyDescent="0.25">
      <c r="A107" t="s">
        <v>202</v>
      </c>
      <c r="B107" s="1">
        <v>45231</v>
      </c>
      <c r="C107" t="s">
        <v>19</v>
      </c>
      <c r="D107" t="s">
        <v>130</v>
      </c>
      <c r="E107" t="s">
        <v>21</v>
      </c>
      <c r="F107" t="s">
        <v>31</v>
      </c>
      <c r="G107" t="s">
        <v>166</v>
      </c>
      <c r="H107" t="s">
        <v>87</v>
      </c>
      <c r="I107" t="s">
        <v>60</v>
      </c>
      <c r="J107" t="s">
        <v>49</v>
      </c>
      <c r="K107" t="s">
        <v>36</v>
      </c>
      <c r="L107">
        <v>303.69</v>
      </c>
      <c r="M107">
        <v>2</v>
      </c>
      <c r="N107" s="2">
        <v>0.1</v>
      </c>
      <c r="O107">
        <v>607.38</v>
      </c>
      <c r="P107">
        <v>60.738</v>
      </c>
      <c r="Q107">
        <f>Sheet1__3_1_1_1[[#This Row],[Gross_Revenue]]-Sheet1__3_1_1_1[[#This Row],[Discount_Amount]]</f>
        <v>546.64200000000005</v>
      </c>
      <c r="R107">
        <v>262.39</v>
      </c>
      <c r="S107">
        <f>Sheet1__3_1_1_1[[#This Row],[Net_Revenue]]-Sheet1__3_1_1_1[[#This Row],[COGS]]</f>
        <v>284.25200000000007</v>
      </c>
    </row>
    <row r="108" spans="1:19" x14ac:dyDescent="0.25">
      <c r="A108" t="s">
        <v>203</v>
      </c>
      <c r="B108" s="1">
        <v>44587</v>
      </c>
      <c r="C108" t="s">
        <v>77</v>
      </c>
      <c r="D108" t="s">
        <v>82</v>
      </c>
      <c r="E108" t="s">
        <v>66</v>
      </c>
      <c r="F108" t="s">
        <v>31</v>
      </c>
      <c r="G108" t="s">
        <v>122</v>
      </c>
      <c r="H108" t="s">
        <v>47</v>
      </c>
      <c r="I108" t="s">
        <v>42</v>
      </c>
      <c r="J108" t="s">
        <v>89</v>
      </c>
      <c r="K108" t="s">
        <v>36</v>
      </c>
      <c r="L108">
        <v>480.98</v>
      </c>
      <c r="M108">
        <v>6</v>
      </c>
      <c r="N108" s="2">
        <v>0</v>
      </c>
      <c r="O108">
        <v>2885.88</v>
      </c>
      <c r="P108">
        <v>0</v>
      </c>
      <c r="Q108">
        <f>Sheet1__3_1_1_1[[#This Row],[Gross_Revenue]]-Sheet1__3_1_1_1[[#This Row],[Discount_Amount]]</f>
        <v>2885.88</v>
      </c>
      <c r="R108">
        <v>1385.22</v>
      </c>
      <c r="S108">
        <f>Sheet1__3_1_1_1[[#This Row],[Net_Revenue]]-Sheet1__3_1_1_1[[#This Row],[COGS]]</f>
        <v>1500.66</v>
      </c>
    </row>
    <row r="109" spans="1:19" x14ac:dyDescent="0.25">
      <c r="A109" t="s">
        <v>204</v>
      </c>
      <c r="B109" s="1">
        <v>44950</v>
      </c>
      <c r="C109" t="s">
        <v>19</v>
      </c>
      <c r="D109" t="s">
        <v>130</v>
      </c>
      <c r="E109" t="s">
        <v>21</v>
      </c>
      <c r="F109" t="s">
        <v>69</v>
      </c>
      <c r="G109" t="s">
        <v>101</v>
      </c>
      <c r="H109" t="s">
        <v>108</v>
      </c>
      <c r="I109" t="s">
        <v>34</v>
      </c>
      <c r="J109" t="s">
        <v>89</v>
      </c>
      <c r="K109" t="s">
        <v>36</v>
      </c>
      <c r="L109">
        <v>7.52</v>
      </c>
      <c r="M109">
        <v>3</v>
      </c>
      <c r="N109" s="2">
        <v>0.2</v>
      </c>
      <c r="O109">
        <v>22.56</v>
      </c>
      <c r="P109">
        <v>4.5119999999999996</v>
      </c>
      <c r="Q109">
        <f>Sheet1__3_1_1_1[[#This Row],[Gross_Revenue]]-Sheet1__3_1_1_1[[#This Row],[Discount_Amount]]</f>
        <v>18.047999999999998</v>
      </c>
      <c r="R109">
        <v>6.86</v>
      </c>
      <c r="S109">
        <f>Sheet1__3_1_1_1[[#This Row],[Net_Revenue]]-Sheet1__3_1_1_1[[#This Row],[COGS]]</f>
        <v>11.187999999999999</v>
      </c>
    </row>
    <row r="110" spans="1:19" x14ac:dyDescent="0.25">
      <c r="A110" t="s">
        <v>205</v>
      </c>
      <c r="B110" s="1">
        <v>44575</v>
      </c>
      <c r="C110" t="s">
        <v>99</v>
      </c>
      <c r="D110" t="s">
        <v>132</v>
      </c>
      <c r="E110" t="s">
        <v>63</v>
      </c>
      <c r="F110" t="s">
        <v>22</v>
      </c>
      <c r="G110" t="s">
        <v>149</v>
      </c>
      <c r="H110" t="s">
        <v>71</v>
      </c>
      <c r="I110" t="s">
        <v>60</v>
      </c>
      <c r="J110" t="s">
        <v>94</v>
      </c>
      <c r="K110" t="s">
        <v>36</v>
      </c>
      <c r="L110">
        <v>19.23</v>
      </c>
      <c r="M110">
        <v>12</v>
      </c>
      <c r="N110" s="2">
        <v>0.05</v>
      </c>
      <c r="O110">
        <v>230.76</v>
      </c>
      <c r="P110">
        <v>11.538</v>
      </c>
      <c r="Q110">
        <f>Sheet1__3_1_1_1[[#This Row],[Gross_Revenue]]-Sheet1__3_1_1_1[[#This Row],[Discount_Amount]]</f>
        <v>219.22199999999998</v>
      </c>
      <c r="R110">
        <v>120.57</v>
      </c>
      <c r="S110">
        <f>Sheet1__3_1_1_1[[#This Row],[Net_Revenue]]-Sheet1__3_1_1_1[[#This Row],[COGS]]</f>
        <v>98.651999999999987</v>
      </c>
    </row>
    <row r="111" spans="1:19" x14ac:dyDescent="0.25">
      <c r="A111" t="s">
        <v>206</v>
      </c>
      <c r="B111" s="1">
        <v>45080</v>
      </c>
      <c r="C111" t="s">
        <v>77</v>
      </c>
      <c r="D111" t="s">
        <v>82</v>
      </c>
      <c r="E111" t="s">
        <v>63</v>
      </c>
      <c r="F111" t="s">
        <v>22</v>
      </c>
      <c r="G111" t="s">
        <v>23</v>
      </c>
      <c r="H111" t="s">
        <v>108</v>
      </c>
      <c r="I111" t="s">
        <v>42</v>
      </c>
      <c r="J111" t="s">
        <v>89</v>
      </c>
      <c r="K111" t="s">
        <v>53</v>
      </c>
      <c r="L111">
        <v>14.27</v>
      </c>
      <c r="M111">
        <v>4</v>
      </c>
      <c r="N111" s="2">
        <v>0.15</v>
      </c>
      <c r="O111">
        <v>57.08</v>
      </c>
      <c r="P111">
        <v>8.5619999999999994</v>
      </c>
      <c r="Q111">
        <f>Sheet1__3_1_1_1[[#This Row],[Gross_Revenue]]-Sheet1__3_1_1_1[[#This Row],[Discount_Amount]]</f>
        <v>48.518000000000001</v>
      </c>
      <c r="R111">
        <v>26.69</v>
      </c>
      <c r="S111">
        <f>Sheet1__3_1_1_1[[#This Row],[Net_Revenue]]-Sheet1__3_1_1_1[[#This Row],[COGS]]</f>
        <v>21.827999999999999</v>
      </c>
    </row>
    <row r="112" spans="1:19" x14ac:dyDescent="0.25">
      <c r="A112" t="s">
        <v>207</v>
      </c>
      <c r="B112" s="1">
        <v>45117</v>
      </c>
      <c r="C112" t="s">
        <v>77</v>
      </c>
      <c r="D112" t="s">
        <v>78</v>
      </c>
      <c r="E112" t="s">
        <v>21</v>
      </c>
      <c r="F112" t="s">
        <v>55</v>
      </c>
      <c r="G112" t="s">
        <v>83</v>
      </c>
      <c r="H112" t="s">
        <v>33</v>
      </c>
      <c r="I112" t="s">
        <v>42</v>
      </c>
      <c r="J112" t="s">
        <v>35</v>
      </c>
      <c r="K112" t="s">
        <v>36</v>
      </c>
      <c r="L112">
        <v>60.95</v>
      </c>
      <c r="M112">
        <v>8</v>
      </c>
      <c r="N112" s="2">
        <v>0.2</v>
      </c>
      <c r="O112">
        <v>487.6</v>
      </c>
      <c r="P112">
        <v>97.52000000000001</v>
      </c>
      <c r="Q112">
        <f>Sheet1__3_1_1_1[[#This Row],[Gross_Revenue]]-Sheet1__3_1_1_1[[#This Row],[Discount_Amount]]</f>
        <v>390.08000000000004</v>
      </c>
      <c r="R112">
        <v>163.83000000000001</v>
      </c>
      <c r="S112">
        <f>Sheet1__3_1_1_1[[#This Row],[Net_Revenue]]-Sheet1__3_1_1_1[[#This Row],[COGS]]</f>
        <v>226.25000000000003</v>
      </c>
    </row>
    <row r="113" spans="1:19" x14ac:dyDescent="0.25">
      <c r="A113" t="s">
        <v>208</v>
      </c>
      <c r="B113" s="1">
        <v>44578</v>
      </c>
      <c r="C113" t="s">
        <v>99</v>
      </c>
      <c r="D113" t="s">
        <v>100</v>
      </c>
      <c r="E113" t="s">
        <v>39</v>
      </c>
      <c r="F113" t="s">
        <v>22</v>
      </c>
      <c r="G113" t="s">
        <v>113</v>
      </c>
      <c r="H113" t="s">
        <v>57</v>
      </c>
      <c r="I113" t="s">
        <v>48</v>
      </c>
      <c r="J113" t="s">
        <v>49</v>
      </c>
      <c r="K113" t="s">
        <v>36</v>
      </c>
      <c r="L113">
        <v>14.53</v>
      </c>
      <c r="M113">
        <v>20</v>
      </c>
      <c r="N113" s="2">
        <v>0</v>
      </c>
      <c r="O113">
        <v>290.59999999999997</v>
      </c>
      <c r="P113">
        <v>0</v>
      </c>
      <c r="Q113">
        <f>Sheet1__3_1_1_1[[#This Row],[Gross_Revenue]]-Sheet1__3_1_1_1[[#This Row],[Discount_Amount]]</f>
        <v>290.59999999999997</v>
      </c>
      <c r="R113">
        <v>159.83000000000001</v>
      </c>
      <c r="S113">
        <f>Sheet1__3_1_1_1[[#This Row],[Net_Revenue]]-Sheet1__3_1_1_1[[#This Row],[COGS]]</f>
        <v>130.76999999999995</v>
      </c>
    </row>
    <row r="114" spans="1:19" x14ac:dyDescent="0.25">
      <c r="A114" t="s">
        <v>209</v>
      </c>
      <c r="B114" s="1">
        <v>44982</v>
      </c>
      <c r="C114" t="s">
        <v>99</v>
      </c>
      <c r="D114" t="s">
        <v>132</v>
      </c>
      <c r="E114" t="s">
        <v>39</v>
      </c>
      <c r="F114" t="s">
        <v>55</v>
      </c>
      <c r="G114" t="s">
        <v>67</v>
      </c>
      <c r="H114" t="s">
        <v>59</v>
      </c>
      <c r="I114" t="s">
        <v>25</v>
      </c>
      <c r="J114" t="s">
        <v>35</v>
      </c>
      <c r="K114" t="s">
        <v>143</v>
      </c>
      <c r="L114">
        <v>70.45</v>
      </c>
      <c r="M114">
        <v>4</v>
      </c>
      <c r="N114" s="2">
        <v>0</v>
      </c>
      <c r="O114">
        <v>281.8</v>
      </c>
      <c r="P114">
        <v>0</v>
      </c>
      <c r="Q114">
        <f>Sheet1__3_1_1_1[[#This Row],[Gross_Revenue]]-Sheet1__3_1_1_1[[#This Row],[Discount_Amount]]</f>
        <v>281.8</v>
      </c>
      <c r="R114">
        <v>118.36</v>
      </c>
      <c r="S114">
        <f>Sheet1__3_1_1_1[[#This Row],[Net_Revenue]]-Sheet1__3_1_1_1[[#This Row],[COGS]]</f>
        <v>163.44</v>
      </c>
    </row>
    <row r="115" spans="1:19" x14ac:dyDescent="0.25">
      <c r="A115" t="s">
        <v>210</v>
      </c>
      <c r="B115" s="1">
        <v>44582</v>
      </c>
      <c r="C115" t="s">
        <v>77</v>
      </c>
      <c r="D115" t="s">
        <v>78</v>
      </c>
      <c r="E115" t="s">
        <v>63</v>
      </c>
      <c r="F115" t="s">
        <v>79</v>
      </c>
      <c r="G115" t="s">
        <v>56</v>
      </c>
      <c r="H115" t="s">
        <v>41</v>
      </c>
      <c r="I115" t="s">
        <v>42</v>
      </c>
      <c r="J115" t="s">
        <v>49</v>
      </c>
      <c r="K115" t="s">
        <v>36</v>
      </c>
      <c r="L115">
        <v>44.46</v>
      </c>
      <c r="M115">
        <v>2</v>
      </c>
      <c r="N115" s="2">
        <v>0.2</v>
      </c>
      <c r="O115">
        <v>88.92</v>
      </c>
      <c r="P115">
        <v>17.784000000000002</v>
      </c>
      <c r="Q115">
        <f>Sheet1__3_1_1_1[[#This Row],[Gross_Revenue]]-Sheet1__3_1_1_1[[#This Row],[Discount_Amount]]</f>
        <v>71.135999999999996</v>
      </c>
      <c r="R115">
        <v>44.11</v>
      </c>
      <c r="S115">
        <f>Sheet1__3_1_1_1[[#This Row],[Net_Revenue]]-Sheet1__3_1_1_1[[#This Row],[COGS]]</f>
        <v>27.025999999999996</v>
      </c>
    </row>
    <row r="116" spans="1:19" x14ac:dyDescent="0.25">
      <c r="A116" t="s">
        <v>211</v>
      </c>
      <c r="B116" s="1">
        <v>44755</v>
      </c>
      <c r="C116" t="s">
        <v>29</v>
      </c>
      <c r="D116" t="s">
        <v>62</v>
      </c>
      <c r="E116" t="s">
        <v>39</v>
      </c>
      <c r="F116" t="s">
        <v>79</v>
      </c>
      <c r="G116" t="s">
        <v>80</v>
      </c>
      <c r="H116" t="s">
        <v>57</v>
      </c>
      <c r="I116" t="s">
        <v>42</v>
      </c>
      <c r="J116" t="s">
        <v>35</v>
      </c>
      <c r="K116" t="s">
        <v>36</v>
      </c>
      <c r="L116">
        <v>662.47</v>
      </c>
      <c r="M116">
        <v>5</v>
      </c>
      <c r="N116" s="2">
        <v>0.1</v>
      </c>
      <c r="O116">
        <v>3312.3500000000004</v>
      </c>
      <c r="P116">
        <v>331.23500000000007</v>
      </c>
      <c r="Q116">
        <f>Sheet1__3_1_1_1[[#This Row],[Gross_Revenue]]-Sheet1__3_1_1_1[[#This Row],[Discount_Amount]]</f>
        <v>2981.1150000000002</v>
      </c>
      <c r="R116">
        <v>1848.29</v>
      </c>
      <c r="S116">
        <f>Sheet1__3_1_1_1[[#This Row],[Net_Revenue]]-Sheet1__3_1_1_1[[#This Row],[COGS]]</f>
        <v>1132.8250000000003</v>
      </c>
    </row>
    <row r="117" spans="1:19" x14ac:dyDescent="0.25">
      <c r="A117" t="s">
        <v>212</v>
      </c>
      <c r="B117" s="1">
        <v>45094</v>
      </c>
      <c r="C117" t="s">
        <v>77</v>
      </c>
      <c r="D117" t="s">
        <v>78</v>
      </c>
      <c r="E117" t="s">
        <v>66</v>
      </c>
      <c r="F117" t="s">
        <v>69</v>
      </c>
      <c r="G117" t="s">
        <v>126</v>
      </c>
      <c r="H117" t="s">
        <v>33</v>
      </c>
      <c r="I117" t="s">
        <v>42</v>
      </c>
      <c r="J117" t="s">
        <v>35</v>
      </c>
      <c r="K117" t="s">
        <v>36</v>
      </c>
      <c r="L117">
        <v>29.24</v>
      </c>
      <c r="M117">
        <v>12</v>
      </c>
      <c r="N117" s="2">
        <v>0</v>
      </c>
      <c r="O117">
        <v>350.88</v>
      </c>
      <c r="P117">
        <v>0</v>
      </c>
      <c r="Q117">
        <f>Sheet1__3_1_1_1[[#This Row],[Gross_Revenue]]-Sheet1__3_1_1_1[[#This Row],[Discount_Amount]]</f>
        <v>350.88</v>
      </c>
      <c r="R117">
        <v>133.33000000000001</v>
      </c>
      <c r="S117">
        <f>Sheet1__3_1_1_1[[#This Row],[Net_Revenue]]-Sheet1__3_1_1_1[[#This Row],[COGS]]</f>
        <v>217.54999999999998</v>
      </c>
    </row>
    <row r="118" spans="1:19" x14ac:dyDescent="0.25">
      <c r="A118" t="s">
        <v>213</v>
      </c>
      <c r="B118" s="1">
        <v>44630</v>
      </c>
      <c r="C118" t="s">
        <v>99</v>
      </c>
      <c r="D118" t="s">
        <v>132</v>
      </c>
      <c r="E118" t="s">
        <v>39</v>
      </c>
      <c r="F118" t="s">
        <v>22</v>
      </c>
      <c r="G118" t="s">
        <v>149</v>
      </c>
      <c r="H118" t="s">
        <v>33</v>
      </c>
      <c r="I118" t="s">
        <v>60</v>
      </c>
      <c r="J118" t="s">
        <v>26</v>
      </c>
      <c r="K118" t="s">
        <v>27</v>
      </c>
      <c r="L118">
        <v>26.99</v>
      </c>
      <c r="M118">
        <v>29</v>
      </c>
      <c r="N118" s="2">
        <v>0</v>
      </c>
      <c r="O118">
        <v>782.70999999999992</v>
      </c>
      <c r="P118">
        <v>0</v>
      </c>
      <c r="Q118">
        <f>Sheet1__3_1_1_1[[#This Row],[Gross_Revenue]]-Sheet1__3_1_1_1[[#This Row],[Discount_Amount]]</f>
        <v>782.70999999999992</v>
      </c>
      <c r="R118">
        <v>430.49</v>
      </c>
      <c r="S118">
        <f>Sheet1__3_1_1_1[[#This Row],[Net_Revenue]]-Sheet1__3_1_1_1[[#This Row],[COGS]]</f>
        <v>352.21999999999991</v>
      </c>
    </row>
    <row r="119" spans="1:19" x14ac:dyDescent="0.25">
      <c r="A119" t="s">
        <v>214</v>
      </c>
      <c r="B119" s="1">
        <v>44732</v>
      </c>
      <c r="C119" t="s">
        <v>19</v>
      </c>
      <c r="D119" t="s">
        <v>91</v>
      </c>
      <c r="E119" t="s">
        <v>63</v>
      </c>
      <c r="F119" t="s">
        <v>69</v>
      </c>
      <c r="G119" t="s">
        <v>101</v>
      </c>
      <c r="H119" t="s">
        <v>111</v>
      </c>
      <c r="I119" t="s">
        <v>42</v>
      </c>
      <c r="J119" t="s">
        <v>94</v>
      </c>
      <c r="K119" t="s">
        <v>36</v>
      </c>
      <c r="L119">
        <v>7.64</v>
      </c>
      <c r="M119">
        <v>19</v>
      </c>
      <c r="N119" s="2">
        <v>0.15</v>
      </c>
      <c r="O119">
        <v>145.16</v>
      </c>
      <c r="P119">
        <v>21.773999999999997</v>
      </c>
      <c r="Q119">
        <f>Sheet1__3_1_1_1[[#This Row],[Gross_Revenue]]-Sheet1__3_1_1_1[[#This Row],[Discount_Amount]]</f>
        <v>123.386</v>
      </c>
      <c r="R119">
        <v>46.89</v>
      </c>
      <c r="S119">
        <f>Sheet1__3_1_1_1[[#This Row],[Net_Revenue]]-Sheet1__3_1_1_1[[#This Row],[COGS]]</f>
        <v>76.495999999999995</v>
      </c>
    </row>
    <row r="120" spans="1:19" x14ac:dyDescent="0.25">
      <c r="A120" t="s">
        <v>215</v>
      </c>
      <c r="B120" s="1">
        <v>44813</v>
      </c>
      <c r="C120" t="s">
        <v>77</v>
      </c>
      <c r="D120" t="s">
        <v>78</v>
      </c>
      <c r="E120" t="s">
        <v>39</v>
      </c>
      <c r="F120" t="s">
        <v>69</v>
      </c>
      <c r="G120" t="s">
        <v>73</v>
      </c>
      <c r="H120" t="s">
        <v>57</v>
      </c>
      <c r="I120" t="s">
        <v>34</v>
      </c>
      <c r="J120" t="s">
        <v>26</v>
      </c>
      <c r="K120" t="s">
        <v>36</v>
      </c>
      <c r="L120">
        <v>11.93</v>
      </c>
      <c r="M120">
        <v>22</v>
      </c>
      <c r="N120" s="2">
        <v>0</v>
      </c>
      <c r="O120">
        <v>262.45999999999998</v>
      </c>
      <c r="P120">
        <v>0</v>
      </c>
      <c r="Q120">
        <f>Sheet1__3_1_1_1[[#This Row],[Gross_Revenue]]-Sheet1__3_1_1_1[[#This Row],[Discount_Amount]]</f>
        <v>262.45999999999998</v>
      </c>
      <c r="R120">
        <v>99.73</v>
      </c>
      <c r="S120">
        <f>Sheet1__3_1_1_1[[#This Row],[Net_Revenue]]-Sheet1__3_1_1_1[[#This Row],[COGS]]</f>
        <v>162.72999999999996</v>
      </c>
    </row>
    <row r="121" spans="1:19" x14ac:dyDescent="0.25">
      <c r="A121" t="s">
        <v>216</v>
      </c>
      <c r="B121" s="1">
        <v>44933</v>
      </c>
      <c r="C121" t="s">
        <v>44</v>
      </c>
      <c r="D121" t="s">
        <v>45</v>
      </c>
      <c r="E121" t="s">
        <v>21</v>
      </c>
      <c r="F121" t="s">
        <v>22</v>
      </c>
      <c r="G121" t="s">
        <v>113</v>
      </c>
      <c r="H121" t="s">
        <v>108</v>
      </c>
      <c r="I121" t="s">
        <v>42</v>
      </c>
      <c r="J121" t="s">
        <v>35</v>
      </c>
      <c r="K121" t="s">
        <v>36</v>
      </c>
      <c r="L121">
        <v>10.69</v>
      </c>
      <c r="M121">
        <v>18</v>
      </c>
      <c r="N121" s="2">
        <v>0</v>
      </c>
      <c r="O121">
        <v>192.42</v>
      </c>
      <c r="P121">
        <v>0</v>
      </c>
      <c r="Q121">
        <f>Sheet1__3_1_1_1[[#This Row],[Gross_Revenue]]-Sheet1__3_1_1_1[[#This Row],[Discount_Amount]]</f>
        <v>192.42</v>
      </c>
      <c r="R121">
        <v>105.83</v>
      </c>
      <c r="S121">
        <f>Sheet1__3_1_1_1[[#This Row],[Net_Revenue]]-Sheet1__3_1_1_1[[#This Row],[COGS]]</f>
        <v>86.589999999999989</v>
      </c>
    </row>
    <row r="122" spans="1:19" x14ac:dyDescent="0.25">
      <c r="A122" t="s">
        <v>217</v>
      </c>
      <c r="B122" s="1">
        <v>44988</v>
      </c>
      <c r="C122" t="s">
        <v>44</v>
      </c>
      <c r="D122" t="s">
        <v>65</v>
      </c>
      <c r="E122" t="s">
        <v>66</v>
      </c>
      <c r="F122" t="s">
        <v>55</v>
      </c>
      <c r="G122" t="s">
        <v>120</v>
      </c>
      <c r="H122" t="s">
        <v>106</v>
      </c>
      <c r="I122" t="s">
        <v>25</v>
      </c>
      <c r="J122" t="s">
        <v>49</v>
      </c>
      <c r="K122" t="s">
        <v>36</v>
      </c>
      <c r="L122">
        <v>96.27</v>
      </c>
      <c r="M122">
        <v>4</v>
      </c>
      <c r="N122" s="2">
        <v>0.2</v>
      </c>
      <c r="O122">
        <v>385.08</v>
      </c>
      <c r="P122">
        <v>77.016000000000005</v>
      </c>
      <c r="Q122">
        <f>Sheet1__3_1_1_1[[#This Row],[Gross_Revenue]]-Sheet1__3_1_1_1[[#This Row],[Discount_Amount]]</f>
        <v>308.06399999999996</v>
      </c>
      <c r="R122">
        <v>129.38999999999999</v>
      </c>
      <c r="S122">
        <f>Sheet1__3_1_1_1[[#This Row],[Net_Revenue]]-Sheet1__3_1_1_1[[#This Row],[COGS]]</f>
        <v>178.67399999999998</v>
      </c>
    </row>
    <row r="123" spans="1:19" x14ac:dyDescent="0.25">
      <c r="A123" t="s">
        <v>218</v>
      </c>
      <c r="B123" s="1">
        <v>44858</v>
      </c>
      <c r="C123" t="s">
        <v>29</v>
      </c>
      <c r="D123" t="s">
        <v>38</v>
      </c>
      <c r="E123" t="s">
        <v>39</v>
      </c>
      <c r="F123" t="s">
        <v>69</v>
      </c>
      <c r="G123" t="s">
        <v>73</v>
      </c>
      <c r="H123" t="s">
        <v>33</v>
      </c>
      <c r="I123" t="s">
        <v>34</v>
      </c>
      <c r="J123" t="s">
        <v>26</v>
      </c>
      <c r="K123" t="s">
        <v>36</v>
      </c>
      <c r="L123">
        <v>14.95</v>
      </c>
      <c r="M123">
        <v>18</v>
      </c>
      <c r="N123" s="2">
        <v>0.1</v>
      </c>
      <c r="O123">
        <v>269.09999999999997</v>
      </c>
      <c r="P123">
        <v>26.909999999999997</v>
      </c>
      <c r="Q123">
        <f>Sheet1__3_1_1_1[[#This Row],[Gross_Revenue]]-Sheet1__3_1_1_1[[#This Row],[Discount_Amount]]</f>
        <v>242.18999999999997</v>
      </c>
      <c r="R123">
        <v>92.03</v>
      </c>
      <c r="S123">
        <f>Sheet1__3_1_1_1[[#This Row],[Net_Revenue]]-Sheet1__3_1_1_1[[#This Row],[COGS]]</f>
        <v>150.15999999999997</v>
      </c>
    </row>
    <row r="124" spans="1:19" x14ac:dyDescent="0.25">
      <c r="A124" t="s">
        <v>219</v>
      </c>
      <c r="B124" s="1">
        <v>44606</v>
      </c>
      <c r="C124" t="s">
        <v>19</v>
      </c>
      <c r="D124" t="s">
        <v>91</v>
      </c>
      <c r="E124" t="s">
        <v>39</v>
      </c>
      <c r="F124" t="s">
        <v>31</v>
      </c>
      <c r="G124" t="s">
        <v>93</v>
      </c>
      <c r="H124" t="s">
        <v>52</v>
      </c>
      <c r="I124" t="s">
        <v>48</v>
      </c>
      <c r="J124" t="s">
        <v>94</v>
      </c>
      <c r="K124" t="s">
        <v>36</v>
      </c>
      <c r="L124">
        <v>164.27</v>
      </c>
      <c r="M124">
        <v>2</v>
      </c>
      <c r="N124" s="2">
        <v>0</v>
      </c>
      <c r="O124">
        <v>328.54</v>
      </c>
      <c r="P124">
        <v>0</v>
      </c>
      <c r="Q124">
        <f>Sheet1__3_1_1_1[[#This Row],[Gross_Revenue]]-Sheet1__3_1_1_1[[#This Row],[Discount_Amount]]</f>
        <v>328.54</v>
      </c>
      <c r="R124">
        <v>157.69999999999999</v>
      </c>
      <c r="S124">
        <f>Sheet1__3_1_1_1[[#This Row],[Net_Revenue]]-Sheet1__3_1_1_1[[#This Row],[COGS]]</f>
        <v>170.84000000000003</v>
      </c>
    </row>
    <row r="125" spans="1:19" x14ac:dyDescent="0.25">
      <c r="A125" t="s">
        <v>220</v>
      </c>
      <c r="B125" s="1">
        <v>44574</v>
      </c>
      <c r="C125" t="s">
        <v>44</v>
      </c>
      <c r="D125" t="s">
        <v>51</v>
      </c>
      <c r="E125" t="s">
        <v>21</v>
      </c>
      <c r="F125" t="s">
        <v>79</v>
      </c>
      <c r="G125" t="s">
        <v>172</v>
      </c>
      <c r="H125" t="s">
        <v>59</v>
      </c>
      <c r="I125" t="s">
        <v>48</v>
      </c>
      <c r="J125" t="s">
        <v>35</v>
      </c>
      <c r="K125" t="s">
        <v>143</v>
      </c>
      <c r="L125">
        <v>347.25</v>
      </c>
      <c r="M125">
        <v>8</v>
      </c>
      <c r="N125" s="2">
        <v>0.15</v>
      </c>
      <c r="O125">
        <v>2778</v>
      </c>
      <c r="P125">
        <v>416.7</v>
      </c>
      <c r="Q125">
        <f>Sheet1__3_1_1_1[[#This Row],[Gross_Revenue]]-Sheet1__3_1_1_1[[#This Row],[Discount_Amount]]</f>
        <v>2361.3000000000002</v>
      </c>
      <c r="R125">
        <v>1464.01</v>
      </c>
      <c r="S125">
        <f>Sheet1__3_1_1_1[[#This Row],[Net_Revenue]]-Sheet1__3_1_1_1[[#This Row],[COGS]]</f>
        <v>897.29000000000019</v>
      </c>
    </row>
    <row r="126" spans="1:19" x14ac:dyDescent="0.25">
      <c r="A126" t="s">
        <v>221</v>
      </c>
      <c r="B126" s="1">
        <v>44602</v>
      </c>
      <c r="C126" t="s">
        <v>19</v>
      </c>
      <c r="D126" t="s">
        <v>20</v>
      </c>
      <c r="E126" t="s">
        <v>39</v>
      </c>
      <c r="F126" t="s">
        <v>69</v>
      </c>
      <c r="G126" t="s">
        <v>70</v>
      </c>
      <c r="H126" t="s">
        <v>24</v>
      </c>
      <c r="I126" t="s">
        <v>60</v>
      </c>
      <c r="J126" t="s">
        <v>49</v>
      </c>
      <c r="K126" t="s">
        <v>36</v>
      </c>
      <c r="L126">
        <v>334.24</v>
      </c>
      <c r="M126">
        <v>1</v>
      </c>
      <c r="N126" s="2">
        <v>0.05</v>
      </c>
      <c r="O126">
        <v>334.24</v>
      </c>
      <c r="P126">
        <v>16.712</v>
      </c>
      <c r="Q126">
        <f>Sheet1__3_1_1_1[[#This Row],[Gross_Revenue]]-Sheet1__3_1_1_1[[#This Row],[Discount_Amount]]</f>
        <v>317.52800000000002</v>
      </c>
      <c r="R126">
        <v>120.66</v>
      </c>
      <c r="S126">
        <f>Sheet1__3_1_1_1[[#This Row],[Net_Revenue]]-Sheet1__3_1_1_1[[#This Row],[COGS]]</f>
        <v>196.86800000000002</v>
      </c>
    </row>
    <row r="127" spans="1:19" x14ac:dyDescent="0.25">
      <c r="A127" t="s">
        <v>222</v>
      </c>
      <c r="B127" s="1">
        <v>45220</v>
      </c>
      <c r="C127" t="s">
        <v>19</v>
      </c>
      <c r="D127" t="s">
        <v>20</v>
      </c>
      <c r="E127" t="s">
        <v>66</v>
      </c>
      <c r="F127" t="s">
        <v>55</v>
      </c>
      <c r="G127" t="s">
        <v>67</v>
      </c>
      <c r="H127" t="s">
        <v>59</v>
      </c>
      <c r="I127" t="s">
        <v>42</v>
      </c>
      <c r="J127" t="s">
        <v>89</v>
      </c>
      <c r="K127" t="s">
        <v>36</v>
      </c>
      <c r="L127">
        <v>85.86</v>
      </c>
      <c r="M127">
        <v>5</v>
      </c>
      <c r="N127" s="2">
        <v>0.2</v>
      </c>
      <c r="O127">
        <v>429.3</v>
      </c>
      <c r="P127">
        <v>85.860000000000014</v>
      </c>
      <c r="Q127">
        <f>Sheet1__3_1_1_1[[#This Row],[Gross_Revenue]]-Sheet1__3_1_1_1[[#This Row],[Discount_Amount]]</f>
        <v>343.44</v>
      </c>
      <c r="R127">
        <v>144.24</v>
      </c>
      <c r="S127">
        <f>Sheet1__3_1_1_1[[#This Row],[Net_Revenue]]-Sheet1__3_1_1_1[[#This Row],[COGS]]</f>
        <v>199.2</v>
      </c>
    </row>
    <row r="128" spans="1:19" x14ac:dyDescent="0.25">
      <c r="A128" t="s">
        <v>223</v>
      </c>
      <c r="B128" s="1">
        <v>44715</v>
      </c>
      <c r="C128" t="s">
        <v>77</v>
      </c>
      <c r="D128" t="s">
        <v>78</v>
      </c>
      <c r="E128" t="s">
        <v>66</v>
      </c>
      <c r="F128" t="s">
        <v>22</v>
      </c>
      <c r="G128" t="s">
        <v>149</v>
      </c>
      <c r="H128" t="s">
        <v>59</v>
      </c>
      <c r="I128" t="s">
        <v>25</v>
      </c>
      <c r="J128" t="s">
        <v>35</v>
      </c>
      <c r="K128" t="s">
        <v>36</v>
      </c>
      <c r="L128">
        <v>27.42</v>
      </c>
      <c r="M128">
        <v>12</v>
      </c>
      <c r="N128" s="2">
        <v>0.15</v>
      </c>
      <c r="O128">
        <v>329.04</v>
      </c>
      <c r="P128">
        <v>49.356000000000002</v>
      </c>
      <c r="Q128">
        <f>Sheet1__3_1_1_1[[#This Row],[Gross_Revenue]]-Sheet1__3_1_1_1[[#This Row],[Discount_Amount]]</f>
        <v>279.68400000000003</v>
      </c>
      <c r="R128">
        <v>153.82</v>
      </c>
      <c r="S128">
        <f>Sheet1__3_1_1_1[[#This Row],[Net_Revenue]]-Sheet1__3_1_1_1[[#This Row],[COGS]]</f>
        <v>125.86400000000003</v>
      </c>
    </row>
    <row r="129" spans="1:19" x14ac:dyDescent="0.25">
      <c r="A129" t="s">
        <v>224</v>
      </c>
      <c r="B129" s="1">
        <v>45084</v>
      </c>
      <c r="C129" t="s">
        <v>29</v>
      </c>
      <c r="D129" t="s">
        <v>62</v>
      </c>
      <c r="E129" t="s">
        <v>63</v>
      </c>
      <c r="F129" t="s">
        <v>22</v>
      </c>
      <c r="G129" t="s">
        <v>23</v>
      </c>
      <c r="H129" t="s">
        <v>41</v>
      </c>
      <c r="I129" t="s">
        <v>42</v>
      </c>
      <c r="J129" t="s">
        <v>35</v>
      </c>
      <c r="K129" t="s">
        <v>36</v>
      </c>
      <c r="L129">
        <v>13.63</v>
      </c>
      <c r="M129">
        <v>7</v>
      </c>
      <c r="N129" s="2">
        <v>0</v>
      </c>
      <c r="O129">
        <v>95.410000000000011</v>
      </c>
      <c r="P129">
        <v>0</v>
      </c>
      <c r="Q129">
        <f>Sheet1__3_1_1_1[[#This Row],[Gross_Revenue]]-Sheet1__3_1_1_1[[#This Row],[Discount_Amount]]</f>
        <v>95.410000000000011</v>
      </c>
      <c r="R129">
        <v>52.48</v>
      </c>
      <c r="S129">
        <f>Sheet1__3_1_1_1[[#This Row],[Net_Revenue]]-Sheet1__3_1_1_1[[#This Row],[COGS]]</f>
        <v>42.930000000000014</v>
      </c>
    </row>
    <row r="130" spans="1:19" x14ac:dyDescent="0.25">
      <c r="A130" t="s">
        <v>225</v>
      </c>
      <c r="B130" s="1">
        <v>44809</v>
      </c>
      <c r="C130" t="s">
        <v>19</v>
      </c>
      <c r="D130" t="s">
        <v>91</v>
      </c>
      <c r="E130" t="s">
        <v>63</v>
      </c>
      <c r="F130" t="s">
        <v>31</v>
      </c>
      <c r="G130" t="s">
        <v>32</v>
      </c>
      <c r="H130" t="s">
        <v>59</v>
      </c>
      <c r="I130" t="s">
        <v>48</v>
      </c>
      <c r="J130" t="s">
        <v>26</v>
      </c>
      <c r="K130" t="s">
        <v>36</v>
      </c>
      <c r="L130">
        <v>341.22</v>
      </c>
      <c r="M130">
        <v>2</v>
      </c>
      <c r="N130" s="2">
        <v>0.15</v>
      </c>
      <c r="O130">
        <v>682.44</v>
      </c>
      <c r="P130">
        <v>102.366</v>
      </c>
      <c r="Q130">
        <f>Sheet1__3_1_1_1[[#This Row],[Gross_Revenue]]-Sheet1__3_1_1_1[[#This Row],[Discount_Amount]]</f>
        <v>580.07400000000007</v>
      </c>
      <c r="R130">
        <v>278.43</v>
      </c>
      <c r="S130">
        <f>Sheet1__3_1_1_1[[#This Row],[Net_Revenue]]-Sheet1__3_1_1_1[[#This Row],[COGS]]</f>
        <v>301.64400000000006</v>
      </c>
    </row>
    <row r="131" spans="1:19" x14ac:dyDescent="0.25">
      <c r="A131" t="s">
        <v>226</v>
      </c>
      <c r="B131" s="1">
        <v>45175</v>
      </c>
      <c r="C131" t="s">
        <v>19</v>
      </c>
      <c r="D131" t="s">
        <v>91</v>
      </c>
      <c r="E131" t="s">
        <v>21</v>
      </c>
      <c r="F131" t="s">
        <v>31</v>
      </c>
      <c r="G131" t="s">
        <v>32</v>
      </c>
      <c r="H131" t="s">
        <v>111</v>
      </c>
      <c r="I131" t="s">
        <v>42</v>
      </c>
      <c r="J131" t="s">
        <v>35</v>
      </c>
      <c r="K131" t="s">
        <v>36</v>
      </c>
      <c r="L131">
        <v>433.68</v>
      </c>
      <c r="M131">
        <v>8</v>
      </c>
      <c r="N131" s="2">
        <v>0.1</v>
      </c>
      <c r="O131">
        <v>3469.44</v>
      </c>
      <c r="P131">
        <v>346.94400000000002</v>
      </c>
      <c r="Q131">
        <f>Sheet1__3_1_1_1[[#This Row],[Gross_Revenue]]-Sheet1__3_1_1_1[[#This Row],[Discount_Amount]]</f>
        <v>3122.4960000000001</v>
      </c>
      <c r="R131">
        <v>1498.8</v>
      </c>
      <c r="S131">
        <f>Sheet1__3_1_1_1[[#This Row],[Net_Revenue]]-Sheet1__3_1_1_1[[#This Row],[COGS]]</f>
        <v>1623.6960000000001</v>
      </c>
    </row>
    <row r="132" spans="1:19" x14ac:dyDescent="0.25">
      <c r="A132" t="s">
        <v>227</v>
      </c>
      <c r="B132" s="1">
        <v>45031</v>
      </c>
      <c r="C132" t="s">
        <v>29</v>
      </c>
      <c r="D132" t="s">
        <v>62</v>
      </c>
      <c r="E132" t="s">
        <v>66</v>
      </c>
      <c r="F132" t="s">
        <v>22</v>
      </c>
      <c r="G132" t="s">
        <v>75</v>
      </c>
      <c r="H132" t="s">
        <v>47</v>
      </c>
      <c r="I132" t="s">
        <v>25</v>
      </c>
      <c r="J132" t="s">
        <v>49</v>
      </c>
      <c r="K132" t="s">
        <v>53</v>
      </c>
      <c r="L132">
        <v>9.09</v>
      </c>
      <c r="M132">
        <v>19</v>
      </c>
      <c r="N132" s="2">
        <v>0.1</v>
      </c>
      <c r="O132">
        <v>172.71</v>
      </c>
      <c r="P132">
        <v>17.271000000000001</v>
      </c>
      <c r="Q132">
        <f>Sheet1__3_1_1_1[[#This Row],[Gross_Revenue]]-Sheet1__3_1_1_1[[#This Row],[Discount_Amount]]</f>
        <v>155.43900000000002</v>
      </c>
      <c r="R132">
        <v>85.49</v>
      </c>
      <c r="S132">
        <f>Sheet1__3_1_1_1[[#This Row],[Net_Revenue]]-Sheet1__3_1_1_1[[#This Row],[COGS]]</f>
        <v>69.949000000000026</v>
      </c>
    </row>
    <row r="133" spans="1:19" x14ac:dyDescent="0.25">
      <c r="A133" t="s">
        <v>228</v>
      </c>
      <c r="B133" s="1">
        <v>44692</v>
      </c>
      <c r="C133" t="s">
        <v>77</v>
      </c>
      <c r="D133" t="s">
        <v>110</v>
      </c>
      <c r="E133" t="s">
        <v>21</v>
      </c>
      <c r="F133" t="s">
        <v>22</v>
      </c>
      <c r="G133" t="s">
        <v>113</v>
      </c>
      <c r="H133" t="s">
        <v>52</v>
      </c>
      <c r="I133" t="s">
        <v>60</v>
      </c>
      <c r="J133" t="s">
        <v>35</v>
      </c>
      <c r="K133" t="s">
        <v>27</v>
      </c>
      <c r="L133">
        <v>12.59</v>
      </c>
      <c r="M133">
        <v>3</v>
      </c>
      <c r="N133" s="2">
        <v>0.05</v>
      </c>
      <c r="O133">
        <v>37.769999999999996</v>
      </c>
      <c r="P133">
        <v>1.8884999999999998</v>
      </c>
      <c r="Q133">
        <f>Sheet1__3_1_1_1[[#This Row],[Gross_Revenue]]-Sheet1__3_1_1_1[[#This Row],[Discount_Amount]]</f>
        <v>35.881499999999996</v>
      </c>
      <c r="R133">
        <v>19.73</v>
      </c>
      <c r="S133">
        <f>Sheet1__3_1_1_1[[#This Row],[Net_Revenue]]-Sheet1__3_1_1_1[[#This Row],[COGS]]</f>
        <v>16.151499999999995</v>
      </c>
    </row>
    <row r="134" spans="1:19" x14ac:dyDescent="0.25">
      <c r="A134" t="s">
        <v>229</v>
      </c>
      <c r="B134" s="1">
        <v>45163</v>
      </c>
      <c r="C134" t="s">
        <v>44</v>
      </c>
      <c r="D134" t="s">
        <v>45</v>
      </c>
      <c r="E134" t="s">
        <v>39</v>
      </c>
      <c r="F134" t="s">
        <v>55</v>
      </c>
      <c r="G134" t="s">
        <v>83</v>
      </c>
      <c r="H134" t="s">
        <v>106</v>
      </c>
      <c r="I134" t="s">
        <v>34</v>
      </c>
      <c r="J134" t="s">
        <v>94</v>
      </c>
      <c r="K134" t="s">
        <v>36</v>
      </c>
      <c r="L134">
        <v>52.3</v>
      </c>
      <c r="M134">
        <v>2</v>
      </c>
      <c r="N134" s="2">
        <v>0</v>
      </c>
      <c r="O134">
        <v>104.6</v>
      </c>
      <c r="P134">
        <v>0</v>
      </c>
      <c r="Q134">
        <f>Sheet1__3_1_1_1[[#This Row],[Gross_Revenue]]-Sheet1__3_1_1_1[[#This Row],[Discount_Amount]]</f>
        <v>104.6</v>
      </c>
      <c r="R134">
        <v>43.93</v>
      </c>
      <c r="S134">
        <f>Sheet1__3_1_1_1[[#This Row],[Net_Revenue]]-Sheet1__3_1_1_1[[#This Row],[COGS]]</f>
        <v>60.669999999999995</v>
      </c>
    </row>
    <row r="135" spans="1:19" x14ac:dyDescent="0.25">
      <c r="A135" t="s">
        <v>230</v>
      </c>
      <c r="B135" s="1">
        <v>44724</v>
      </c>
      <c r="C135" t="s">
        <v>77</v>
      </c>
      <c r="D135" t="s">
        <v>110</v>
      </c>
      <c r="E135" t="s">
        <v>21</v>
      </c>
      <c r="F135" t="s">
        <v>55</v>
      </c>
      <c r="G135" t="s">
        <v>120</v>
      </c>
      <c r="H135" t="s">
        <v>59</v>
      </c>
      <c r="I135" t="s">
        <v>25</v>
      </c>
      <c r="J135" t="s">
        <v>89</v>
      </c>
      <c r="K135" t="s">
        <v>36</v>
      </c>
      <c r="L135">
        <v>127.4</v>
      </c>
      <c r="M135">
        <v>2</v>
      </c>
      <c r="N135" s="2">
        <v>0.15</v>
      </c>
      <c r="O135">
        <v>254.8</v>
      </c>
      <c r="P135">
        <v>38.22</v>
      </c>
      <c r="Q135">
        <f>Sheet1__3_1_1_1[[#This Row],[Gross_Revenue]]-Sheet1__3_1_1_1[[#This Row],[Discount_Amount]]</f>
        <v>216.58</v>
      </c>
      <c r="R135">
        <v>90.96</v>
      </c>
      <c r="S135">
        <f>Sheet1__3_1_1_1[[#This Row],[Net_Revenue]]-Sheet1__3_1_1_1[[#This Row],[COGS]]</f>
        <v>125.62000000000002</v>
      </c>
    </row>
    <row r="136" spans="1:19" x14ac:dyDescent="0.25">
      <c r="A136" t="s">
        <v>231</v>
      </c>
      <c r="B136" s="1">
        <v>45180</v>
      </c>
      <c r="C136" t="s">
        <v>99</v>
      </c>
      <c r="D136" t="s">
        <v>132</v>
      </c>
      <c r="E136" t="s">
        <v>63</v>
      </c>
      <c r="F136" t="s">
        <v>69</v>
      </c>
      <c r="G136" t="s">
        <v>101</v>
      </c>
      <c r="H136" t="s">
        <v>47</v>
      </c>
      <c r="I136" t="s">
        <v>34</v>
      </c>
      <c r="J136" t="s">
        <v>89</v>
      </c>
      <c r="K136" t="s">
        <v>53</v>
      </c>
      <c r="L136">
        <v>7.85</v>
      </c>
      <c r="M136">
        <v>3</v>
      </c>
      <c r="N136" s="2">
        <v>0</v>
      </c>
      <c r="O136">
        <v>23.549999999999997</v>
      </c>
      <c r="P136">
        <v>0</v>
      </c>
      <c r="Q136">
        <f>Sheet1__3_1_1_1[[#This Row],[Gross_Revenue]]-Sheet1__3_1_1_1[[#This Row],[Discount_Amount]]</f>
        <v>23.549999999999997</v>
      </c>
      <c r="R136">
        <v>8.9499999999999993</v>
      </c>
      <c r="S136">
        <f>Sheet1__3_1_1_1[[#This Row],[Net_Revenue]]-Sheet1__3_1_1_1[[#This Row],[COGS]]</f>
        <v>14.599999999999998</v>
      </c>
    </row>
    <row r="137" spans="1:19" x14ac:dyDescent="0.25">
      <c r="A137" t="s">
        <v>232</v>
      </c>
      <c r="B137" s="1">
        <v>45283</v>
      </c>
      <c r="C137" t="s">
        <v>44</v>
      </c>
      <c r="D137" t="s">
        <v>51</v>
      </c>
      <c r="E137" t="s">
        <v>63</v>
      </c>
      <c r="F137" t="s">
        <v>55</v>
      </c>
      <c r="G137" t="s">
        <v>56</v>
      </c>
      <c r="H137" t="s">
        <v>41</v>
      </c>
      <c r="I137" t="s">
        <v>42</v>
      </c>
      <c r="J137" t="s">
        <v>26</v>
      </c>
      <c r="K137" t="s">
        <v>36</v>
      </c>
      <c r="L137">
        <v>55.78</v>
      </c>
      <c r="M137">
        <v>8</v>
      </c>
      <c r="N137" s="2">
        <v>0.1</v>
      </c>
      <c r="O137">
        <v>446.24</v>
      </c>
      <c r="P137">
        <v>44.624000000000002</v>
      </c>
      <c r="Q137">
        <f>Sheet1__3_1_1_1[[#This Row],[Gross_Revenue]]-Sheet1__3_1_1_1[[#This Row],[Discount_Amount]]</f>
        <v>401.61599999999999</v>
      </c>
      <c r="R137">
        <v>168.68</v>
      </c>
      <c r="S137">
        <f>Sheet1__3_1_1_1[[#This Row],[Net_Revenue]]-Sheet1__3_1_1_1[[#This Row],[COGS]]</f>
        <v>232.93599999999998</v>
      </c>
    </row>
    <row r="138" spans="1:19" x14ac:dyDescent="0.25">
      <c r="A138" t="s">
        <v>233</v>
      </c>
      <c r="B138" s="1">
        <v>44622</v>
      </c>
      <c r="C138" t="s">
        <v>29</v>
      </c>
      <c r="D138" t="s">
        <v>62</v>
      </c>
      <c r="E138" t="s">
        <v>66</v>
      </c>
      <c r="F138" t="s">
        <v>22</v>
      </c>
      <c r="G138" t="s">
        <v>23</v>
      </c>
      <c r="H138" t="s">
        <v>47</v>
      </c>
      <c r="I138" t="s">
        <v>34</v>
      </c>
      <c r="J138" t="s">
        <v>35</v>
      </c>
      <c r="K138" t="s">
        <v>53</v>
      </c>
      <c r="L138">
        <v>18.350000000000001</v>
      </c>
      <c r="M138">
        <v>2</v>
      </c>
      <c r="N138" s="2">
        <v>0.2</v>
      </c>
      <c r="O138">
        <v>36.700000000000003</v>
      </c>
      <c r="P138">
        <v>7.3400000000000007</v>
      </c>
      <c r="Q138">
        <f>Sheet1__3_1_1_1[[#This Row],[Gross_Revenue]]-Sheet1__3_1_1_1[[#This Row],[Discount_Amount]]</f>
        <v>29.360000000000003</v>
      </c>
      <c r="R138">
        <v>16.149999999999999</v>
      </c>
      <c r="S138">
        <f>Sheet1__3_1_1_1[[#This Row],[Net_Revenue]]-Sheet1__3_1_1_1[[#This Row],[COGS]]</f>
        <v>13.210000000000004</v>
      </c>
    </row>
    <row r="139" spans="1:19" x14ac:dyDescent="0.25">
      <c r="A139" t="s">
        <v>234</v>
      </c>
      <c r="B139" s="1">
        <v>44574</v>
      </c>
      <c r="C139" t="s">
        <v>29</v>
      </c>
      <c r="D139" t="s">
        <v>62</v>
      </c>
      <c r="E139" t="s">
        <v>21</v>
      </c>
      <c r="F139" t="s">
        <v>69</v>
      </c>
      <c r="G139" t="s">
        <v>73</v>
      </c>
      <c r="H139" t="s">
        <v>47</v>
      </c>
      <c r="I139" t="s">
        <v>34</v>
      </c>
      <c r="J139" t="s">
        <v>26</v>
      </c>
      <c r="K139" t="s">
        <v>36</v>
      </c>
      <c r="L139">
        <v>14.62</v>
      </c>
      <c r="M139">
        <v>28</v>
      </c>
      <c r="N139" s="2">
        <v>0.05</v>
      </c>
      <c r="O139">
        <v>409.35999999999996</v>
      </c>
      <c r="P139">
        <v>20.468</v>
      </c>
      <c r="Q139">
        <f>Sheet1__3_1_1_1[[#This Row],[Gross_Revenue]]-Sheet1__3_1_1_1[[#This Row],[Discount_Amount]]</f>
        <v>388.89199999999994</v>
      </c>
      <c r="R139">
        <v>147.78</v>
      </c>
      <c r="S139">
        <f>Sheet1__3_1_1_1[[#This Row],[Net_Revenue]]-Sheet1__3_1_1_1[[#This Row],[COGS]]</f>
        <v>241.11199999999994</v>
      </c>
    </row>
    <row r="140" spans="1:19" x14ac:dyDescent="0.25">
      <c r="A140" t="s">
        <v>235</v>
      </c>
      <c r="B140" s="1">
        <v>44594</v>
      </c>
      <c r="C140" t="s">
        <v>44</v>
      </c>
      <c r="D140" t="s">
        <v>45</v>
      </c>
      <c r="E140" t="s">
        <v>66</v>
      </c>
      <c r="F140" t="s">
        <v>79</v>
      </c>
      <c r="G140" t="s">
        <v>80</v>
      </c>
      <c r="H140" t="s">
        <v>59</v>
      </c>
      <c r="I140" t="s">
        <v>34</v>
      </c>
      <c r="J140" t="s">
        <v>94</v>
      </c>
      <c r="K140" t="s">
        <v>36</v>
      </c>
      <c r="L140">
        <v>565.92999999999995</v>
      </c>
      <c r="M140">
        <v>2</v>
      </c>
      <c r="N140" s="2">
        <v>0.05</v>
      </c>
      <c r="O140">
        <v>1131.8599999999999</v>
      </c>
      <c r="P140">
        <v>56.592999999999996</v>
      </c>
      <c r="Q140">
        <f>Sheet1__3_1_1_1[[#This Row],[Gross_Revenue]]-Sheet1__3_1_1_1[[#This Row],[Discount_Amount]]</f>
        <v>1075.2669999999998</v>
      </c>
      <c r="R140">
        <v>666.67</v>
      </c>
      <c r="S140">
        <f>Sheet1__3_1_1_1[[#This Row],[Net_Revenue]]-Sheet1__3_1_1_1[[#This Row],[COGS]]</f>
        <v>408.59699999999987</v>
      </c>
    </row>
    <row r="141" spans="1:19" x14ac:dyDescent="0.25">
      <c r="A141" t="s">
        <v>236</v>
      </c>
      <c r="B141" s="1">
        <v>44638</v>
      </c>
      <c r="C141" t="s">
        <v>77</v>
      </c>
      <c r="D141" t="s">
        <v>78</v>
      </c>
      <c r="E141" t="s">
        <v>39</v>
      </c>
      <c r="F141" t="s">
        <v>22</v>
      </c>
      <c r="G141" t="s">
        <v>23</v>
      </c>
      <c r="H141" t="s">
        <v>111</v>
      </c>
      <c r="I141" t="s">
        <v>60</v>
      </c>
      <c r="J141" t="s">
        <v>89</v>
      </c>
      <c r="K141" t="s">
        <v>143</v>
      </c>
      <c r="L141">
        <v>12.96</v>
      </c>
      <c r="M141">
        <v>3</v>
      </c>
      <c r="N141" s="2">
        <v>0</v>
      </c>
      <c r="O141">
        <v>38.880000000000003</v>
      </c>
      <c r="P141">
        <v>0</v>
      </c>
      <c r="Q141">
        <f>Sheet1__3_1_1_1[[#This Row],[Gross_Revenue]]-Sheet1__3_1_1_1[[#This Row],[Discount_Amount]]</f>
        <v>38.880000000000003</v>
      </c>
      <c r="R141">
        <v>21.38</v>
      </c>
      <c r="S141">
        <f>Sheet1__3_1_1_1[[#This Row],[Net_Revenue]]-Sheet1__3_1_1_1[[#This Row],[COGS]]</f>
        <v>17.500000000000004</v>
      </c>
    </row>
    <row r="142" spans="1:19" x14ac:dyDescent="0.25">
      <c r="A142" t="s">
        <v>237</v>
      </c>
      <c r="B142" s="1">
        <v>44825</v>
      </c>
      <c r="C142" t="s">
        <v>29</v>
      </c>
      <c r="D142" t="s">
        <v>62</v>
      </c>
      <c r="E142" t="s">
        <v>39</v>
      </c>
      <c r="F142" t="s">
        <v>79</v>
      </c>
      <c r="G142" t="s">
        <v>172</v>
      </c>
      <c r="H142" t="s">
        <v>57</v>
      </c>
      <c r="I142" t="s">
        <v>48</v>
      </c>
      <c r="J142" t="s">
        <v>35</v>
      </c>
      <c r="K142" t="s">
        <v>143</v>
      </c>
      <c r="L142">
        <v>349.27</v>
      </c>
      <c r="M142">
        <v>3</v>
      </c>
      <c r="N142" s="2">
        <v>0</v>
      </c>
      <c r="O142">
        <v>1047.81</v>
      </c>
      <c r="P142">
        <v>0</v>
      </c>
      <c r="Q142">
        <f>Sheet1__3_1_1_1[[#This Row],[Gross_Revenue]]-Sheet1__3_1_1_1[[#This Row],[Discount_Amount]]</f>
        <v>1047.81</v>
      </c>
      <c r="R142">
        <v>649.64</v>
      </c>
      <c r="S142">
        <f>Sheet1__3_1_1_1[[#This Row],[Net_Revenue]]-Sheet1__3_1_1_1[[#This Row],[COGS]]</f>
        <v>398.16999999999996</v>
      </c>
    </row>
    <row r="143" spans="1:19" x14ac:dyDescent="0.25">
      <c r="A143" t="s">
        <v>238</v>
      </c>
      <c r="B143" s="1">
        <v>44571</v>
      </c>
      <c r="C143" t="s">
        <v>44</v>
      </c>
      <c r="D143" t="s">
        <v>45</v>
      </c>
      <c r="E143" t="s">
        <v>39</v>
      </c>
      <c r="F143" t="s">
        <v>79</v>
      </c>
      <c r="G143" t="s">
        <v>56</v>
      </c>
      <c r="H143" t="s">
        <v>52</v>
      </c>
      <c r="I143" t="s">
        <v>60</v>
      </c>
      <c r="J143" t="s">
        <v>89</v>
      </c>
      <c r="K143" t="s">
        <v>143</v>
      </c>
      <c r="L143">
        <v>56.11</v>
      </c>
      <c r="M143">
        <v>5</v>
      </c>
      <c r="N143" s="2">
        <v>0.2</v>
      </c>
      <c r="O143">
        <v>280.55</v>
      </c>
      <c r="P143">
        <v>56.110000000000007</v>
      </c>
      <c r="Q143">
        <f>Sheet1__3_1_1_1[[#This Row],[Gross_Revenue]]-Sheet1__3_1_1_1[[#This Row],[Discount_Amount]]</f>
        <v>224.44</v>
      </c>
      <c r="R143">
        <v>139.15</v>
      </c>
      <c r="S143">
        <f>Sheet1__3_1_1_1[[#This Row],[Net_Revenue]]-Sheet1__3_1_1_1[[#This Row],[COGS]]</f>
        <v>85.289999999999992</v>
      </c>
    </row>
    <row r="144" spans="1:19" x14ac:dyDescent="0.25">
      <c r="A144" t="s">
        <v>239</v>
      </c>
      <c r="B144" s="1">
        <v>44692</v>
      </c>
      <c r="C144" t="s">
        <v>44</v>
      </c>
      <c r="D144" t="s">
        <v>51</v>
      </c>
      <c r="E144" t="s">
        <v>39</v>
      </c>
      <c r="F144" t="s">
        <v>79</v>
      </c>
      <c r="G144" t="s">
        <v>56</v>
      </c>
      <c r="H144" t="s">
        <v>33</v>
      </c>
      <c r="I144" t="s">
        <v>48</v>
      </c>
      <c r="J144" t="s">
        <v>49</v>
      </c>
      <c r="K144" t="s">
        <v>36</v>
      </c>
      <c r="L144">
        <v>40.69</v>
      </c>
      <c r="M144">
        <v>8</v>
      </c>
      <c r="N144" s="2">
        <v>0</v>
      </c>
      <c r="O144">
        <v>325.52</v>
      </c>
      <c r="P144">
        <v>0</v>
      </c>
      <c r="Q144">
        <f>Sheet1__3_1_1_1[[#This Row],[Gross_Revenue]]-Sheet1__3_1_1_1[[#This Row],[Discount_Amount]]</f>
        <v>325.52</v>
      </c>
      <c r="R144">
        <v>201.82</v>
      </c>
      <c r="S144">
        <f>Sheet1__3_1_1_1[[#This Row],[Net_Revenue]]-Sheet1__3_1_1_1[[#This Row],[COGS]]</f>
        <v>123.69999999999999</v>
      </c>
    </row>
    <row r="145" spans="1:19" x14ac:dyDescent="0.25">
      <c r="A145" t="s">
        <v>240</v>
      </c>
      <c r="B145" s="1">
        <v>45147</v>
      </c>
      <c r="C145" t="s">
        <v>99</v>
      </c>
      <c r="D145" t="s">
        <v>132</v>
      </c>
      <c r="E145" t="s">
        <v>63</v>
      </c>
      <c r="F145" t="s">
        <v>79</v>
      </c>
      <c r="G145" t="s">
        <v>85</v>
      </c>
      <c r="H145" t="s">
        <v>87</v>
      </c>
      <c r="I145" t="s">
        <v>34</v>
      </c>
      <c r="J145" t="s">
        <v>26</v>
      </c>
      <c r="K145" t="s">
        <v>27</v>
      </c>
      <c r="L145">
        <v>775.62</v>
      </c>
      <c r="M145">
        <v>8</v>
      </c>
      <c r="N145" s="2">
        <v>0.15</v>
      </c>
      <c r="O145">
        <v>6204.96</v>
      </c>
      <c r="P145">
        <v>930.74399999999991</v>
      </c>
      <c r="Q145">
        <f>Sheet1__3_1_1_1[[#This Row],[Gross_Revenue]]-Sheet1__3_1_1_1[[#This Row],[Discount_Amount]]</f>
        <v>5274.2160000000003</v>
      </c>
      <c r="R145">
        <v>3270.02</v>
      </c>
      <c r="S145">
        <f>Sheet1__3_1_1_1[[#This Row],[Net_Revenue]]-Sheet1__3_1_1_1[[#This Row],[COGS]]</f>
        <v>2004.1960000000004</v>
      </c>
    </row>
    <row r="146" spans="1:19" x14ac:dyDescent="0.25">
      <c r="A146" t="s">
        <v>241</v>
      </c>
      <c r="B146" s="1">
        <v>44975</v>
      </c>
      <c r="C146" t="s">
        <v>44</v>
      </c>
      <c r="D146" t="s">
        <v>45</v>
      </c>
      <c r="E146" t="s">
        <v>39</v>
      </c>
      <c r="F146" t="s">
        <v>22</v>
      </c>
      <c r="G146" t="s">
        <v>46</v>
      </c>
      <c r="H146" t="s">
        <v>33</v>
      </c>
      <c r="I146" t="s">
        <v>48</v>
      </c>
      <c r="J146" t="s">
        <v>94</v>
      </c>
      <c r="K146" t="s">
        <v>36</v>
      </c>
      <c r="L146">
        <v>16.5</v>
      </c>
      <c r="M146">
        <v>28</v>
      </c>
      <c r="N146" s="2">
        <v>0.05</v>
      </c>
      <c r="O146">
        <v>462</v>
      </c>
      <c r="P146">
        <v>23.1</v>
      </c>
      <c r="Q146">
        <f>Sheet1__3_1_1_1[[#This Row],[Gross_Revenue]]-Sheet1__3_1_1_1[[#This Row],[Discount_Amount]]</f>
        <v>438.9</v>
      </c>
      <c r="R146">
        <v>241.4</v>
      </c>
      <c r="S146">
        <f>Sheet1__3_1_1_1[[#This Row],[Net_Revenue]]-Sheet1__3_1_1_1[[#This Row],[COGS]]</f>
        <v>197.49999999999997</v>
      </c>
    </row>
    <row r="147" spans="1:19" x14ac:dyDescent="0.25">
      <c r="A147" t="s">
        <v>242</v>
      </c>
      <c r="B147" s="1">
        <v>45059</v>
      </c>
      <c r="C147" t="s">
        <v>29</v>
      </c>
      <c r="D147" t="s">
        <v>38</v>
      </c>
      <c r="E147" t="s">
        <v>21</v>
      </c>
      <c r="F147" t="s">
        <v>79</v>
      </c>
      <c r="G147" t="s">
        <v>96</v>
      </c>
      <c r="H147" t="s">
        <v>33</v>
      </c>
      <c r="I147" t="s">
        <v>42</v>
      </c>
      <c r="J147" t="s">
        <v>49</v>
      </c>
      <c r="K147" t="s">
        <v>53</v>
      </c>
      <c r="L147">
        <v>447.47</v>
      </c>
      <c r="M147">
        <v>2</v>
      </c>
      <c r="N147" s="2">
        <v>0.05</v>
      </c>
      <c r="O147">
        <v>894.94</v>
      </c>
      <c r="P147">
        <v>44.747000000000007</v>
      </c>
      <c r="Q147">
        <f>Sheet1__3_1_1_1[[#This Row],[Gross_Revenue]]-Sheet1__3_1_1_1[[#This Row],[Discount_Amount]]</f>
        <v>850.1930000000001</v>
      </c>
      <c r="R147">
        <v>527.12</v>
      </c>
      <c r="S147">
        <f>Sheet1__3_1_1_1[[#This Row],[Net_Revenue]]-Sheet1__3_1_1_1[[#This Row],[COGS]]</f>
        <v>323.07300000000009</v>
      </c>
    </row>
    <row r="148" spans="1:19" x14ac:dyDescent="0.25">
      <c r="A148" t="s">
        <v>243</v>
      </c>
      <c r="B148" s="1">
        <v>44869</v>
      </c>
      <c r="C148" t="s">
        <v>19</v>
      </c>
      <c r="D148" t="s">
        <v>91</v>
      </c>
      <c r="E148" t="s">
        <v>39</v>
      </c>
      <c r="F148" t="s">
        <v>22</v>
      </c>
      <c r="G148" t="s">
        <v>75</v>
      </c>
      <c r="H148" t="s">
        <v>87</v>
      </c>
      <c r="I148" t="s">
        <v>60</v>
      </c>
      <c r="J148" t="s">
        <v>94</v>
      </c>
      <c r="K148" t="s">
        <v>27</v>
      </c>
      <c r="L148">
        <v>8.69</v>
      </c>
      <c r="M148">
        <v>12</v>
      </c>
      <c r="N148" s="2">
        <v>0.15</v>
      </c>
      <c r="O148">
        <v>104.28</v>
      </c>
      <c r="P148">
        <v>15.641999999999999</v>
      </c>
      <c r="Q148">
        <f>Sheet1__3_1_1_1[[#This Row],[Gross_Revenue]]-Sheet1__3_1_1_1[[#This Row],[Discount_Amount]]</f>
        <v>88.638000000000005</v>
      </c>
      <c r="R148">
        <v>48.75</v>
      </c>
      <c r="S148">
        <f>Sheet1__3_1_1_1[[#This Row],[Net_Revenue]]-Sheet1__3_1_1_1[[#This Row],[COGS]]</f>
        <v>39.888000000000005</v>
      </c>
    </row>
    <row r="149" spans="1:19" x14ac:dyDescent="0.25">
      <c r="A149" t="s">
        <v>244</v>
      </c>
      <c r="B149" s="1">
        <v>45228</v>
      </c>
      <c r="C149" t="s">
        <v>44</v>
      </c>
      <c r="D149" t="s">
        <v>65</v>
      </c>
      <c r="E149" t="s">
        <v>66</v>
      </c>
      <c r="F149" t="s">
        <v>69</v>
      </c>
      <c r="G149" t="s">
        <v>190</v>
      </c>
      <c r="H149" t="s">
        <v>33</v>
      </c>
      <c r="I149" t="s">
        <v>60</v>
      </c>
      <c r="J149" t="s">
        <v>94</v>
      </c>
      <c r="K149" t="s">
        <v>36</v>
      </c>
      <c r="L149">
        <v>22.24</v>
      </c>
      <c r="M149">
        <v>11</v>
      </c>
      <c r="N149" s="2">
        <v>0</v>
      </c>
      <c r="O149">
        <v>244.64</v>
      </c>
      <c r="P149">
        <v>0</v>
      </c>
      <c r="Q149">
        <f>Sheet1__3_1_1_1[[#This Row],[Gross_Revenue]]-Sheet1__3_1_1_1[[#This Row],[Discount_Amount]]</f>
        <v>244.64</v>
      </c>
      <c r="R149">
        <v>92.96</v>
      </c>
      <c r="S149">
        <f>Sheet1__3_1_1_1[[#This Row],[Net_Revenue]]-Sheet1__3_1_1_1[[#This Row],[COGS]]</f>
        <v>151.68</v>
      </c>
    </row>
    <row r="150" spans="1:19" x14ac:dyDescent="0.25">
      <c r="A150" t="s">
        <v>245</v>
      </c>
      <c r="B150" s="1">
        <v>44700</v>
      </c>
      <c r="C150" t="s">
        <v>99</v>
      </c>
      <c r="D150" t="s">
        <v>100</v>
      </c>
      <c r="E150" t="s">
        <v>39</v>
      </c>
      <c r="F150" t="s">
        <v>55</v>
      </c>
      <c r="G150" t="s">
        <v>83</v>
      </c>
      <c r="H150" t="s">
        <v>41</v>
      </c>
      <c r="I150" t="s">
        <v>25</v>
      </c>
      <c r="J150" t="s">
        <v>35</v>
      </c>
      <c r="K150" t="s">
        <v>36</v>
      </c>
      <c r="L150">
        <v>48.23</v>
      </c>
      <c r="M150">
        <v>1</v>
      </c>
      <c r="N150" s="2">
        <v>0</v>
      </c>
      <c r="O150">
        <v>48.23</v>
      </c>
      <c r="P150">
        <v>0</v>
      </c>
      <c r="Q150">
        <f>Sheet1__3_1_1_1[[#This Row],[Gross_Revenue]]-Sheet1__3_1_1_1[[#This Row],[Discount_Amount]]</f>
        <v>48.23</v>
      </c>
      <c r="R150">
        <v>20.260000000000002</v>
      </c>
      <c r="S150">
        <f>Sheet1__3_1_1_1[[#This Row],[Net_Revenue]]-Sheet1__3_1_1_1[[#This Row],[COGS]]</f>
        <v>27.969999999999995</v>
      </c>
    </row>
    <row r="151" spans="1:19" x14ac:dyDescent="0.25">
      <c r="A151" t="s">
        <v>246</v>
      </c>
      <c r="B151" s="1">
        <v>45255</v>
      </c>
      <c r="C151" t="s">
        <v>99</v>
      </c>
      <c r="D151" t="s">
        <v>132</v>
      </c>
      <c r="E151" t="s">
        <v>21</v>
      </c>
      <c r="F151" t="s">
        <v>22</v>
      </c>
      <c r="G151" t="s">
        <v>75</v>
      </c>
      <c r="H151" t="s">
        <v>111</v>
      </c>
      <c r="I151" t="s">
        <v>48</v>
      </c>
      <c r="J151" t="s">
        <v>35</v>
      </c>
      <c r="K151" t="s">
        <v>53</v>
      </c>
      <c r="L151">
        <v>11.39</v>
      </c>
      <c r="M151">
        <v>21</v>
      </c>
      <c r="N151" s="2">
        <v>0.15</v>
      </c>
      <c r="O151">
        <v>239.19</v>
      </c>
      <c r="P151">
        <v>35.878499999999995</v>
      </c>
      <c r="Q151">
        <f>Sheet1__3_1_1_1[[#This Row],[Gross_Revenue]]-Sheet1__3_1_1_1[[#This Row],[Discount_Amount]]</f>
        <v>203.3115</v>
      </c>
      <c r="R151">
        <v>111.82</v>
      </c>
      <c r="S151">
        <f>Sheet1__3_1_1_1[[#This Row],[Net_Revenue]]-Sheet1__3_1_1_1[[#This Row],[COGS]]</f>
        <v>91.491500000000002</v>
      </c>
    </row>
    <row r="152" spans="1:19" x14ac:dyDescent="0.25">
      <c r="A152" t="s">
        <v>247</v>
      </c>
      <c r="B152" s="1">
        <v>44740</v>
      </c>
      <c r="C152" t="s">
        <v>77</v>
      </c>
      <c r="D152" t="s">
        <v>110</v>
      </c>
      <c r="E152" t="s">
        <v>39</v>
      </c>
      <c r="F152" t="s">
        <v>55</v>
      </c>
      <c r="G152" t="s">
        <v>120</v>
      </c>
      <c r="H152" t="s">
        <v>33</v>
      </c>
      <c r="I152" t="s">
        <v>34</v>
      </c>
      <c r="J152" t="s">
        <v>89</v>
      </c>
      <c r="K152" t="s">
        <v>36</v>
      </c>
      <c r="L152">
        <v>136.30000000000001</v>
      </c>
      <c r="M152">
        <v>4</v>
      </c>
      <c r="N152" s="2">
        <v>0.1</v>
      </c>
      <c r="O152">
        <v>545.20000000000005</v>
      </c>
      <c r="P152">
        <v>54.52000000000001</v>
      </c>
      <c r="Q152">
        <f>Sheet1__3_1_1_1[[#This Row],[Gross_Revenue]]-Sheet1__3_1_1_1[[#This Row],[Discount_Amount]]</f>
        <v>490.68000000000006</v>
      </c>
      <c r="R152">
        <v>206.09</v>
      </c>
      <c r="S152">
        <f>Sheet1__3_1_1_1[[#This Row],[Net_Revenue]]-Sheet1__3_1_1_1[[#This Row],[COGS]]</f>
        <v>284.59000000000003</v>
      </c>
    </row>
    <row r="153" spans="1:19" x14ac:dyDescent="0.25">
      <c r="A153" t="s">
        <v>248</v>
      </c>
      <c r="B153" s="1">
        <v>44743</v>
      </c>
      <c r="C153" t="s">
        <v>77</v>
      </c>
      <c r="D153" t="s">
        <v>78</v>
      </c>
      <c r="E153" t="s">
        <v>66</v>
      </c>
      <c r="F153" t="s">
        <v>55</v>
      </c>
      <c r="G153" t="s">
        <v>83</v>
      </c>
      <c r="H153" t="s">
        <v>57</v>
      </c>
      <c r="I153" t="s">
        <v>42</v>
      </c>
      <c r="J153" t="s">
        <v>94</v>
      </c>
      <c r="K153" t="s">
        <v>36</v>
      </c>
      <c r="L153">
        <v>54.48</v>
      </c>
      <c r="M153">
        <v>2</v>
      </c>
      <c r="N153" s="2">
        <v>0</v>
      </c>
      <c r="O153">
        <v>108.96</v>
      </c>
      <c r="P153">
        <v>0</v>
      </c>
      <c r="Q153">
        <f>Sheet1__3_1_1_1[[#This Row],[Gross_Revenue]]-Sheet1__3_1_1_1[[#This Row],[Discount_Amount]]</f>
        <v>108.96</v>
      </c>
      <c r="R153">
        <v>45.76</v>
      </c>
      <c r="S153">
        <f>Sheet1__3_1_1_1[[#This Row],[Net_Revenue]]-Sheet1__3_1_1_1[[#This Row],[COGS]]</f>
        <v>63.199999999999996</v>
      </c>
    </row>
    <row r="154" spans="1:19" x14ac:dyDescent="0.25">
      <c r="A154" t="s">
        <v>249</v>
      </c>
      <c r="B154" s="1">
        <v>45115</v>
      </c>
      <c r="C154" t="s">
        <v>77</v>
      </c>
      <c r="D154" t="s">
        <v>110</v>
      </c>
      <c r="E154" t="s">
        <v>39</v>
      </c>
      <c r="F154" t="s">
        <v>31</v>
      </c>
      <c r="G154" t="s">
        <v>166</v>
      </c>
      <c r="H154" t="s">
        <v>52</v>
      </c>
      <c r="I154" t="s">
        <v>34</v>
      </c>
      <c r="J154" t="s">
        <v>94</v>
      </c>
      <c r="K154" t="s">
        <v>27</v>
      </c>
      <c r="L154">
        <v>355.43</v>
      </c>
      <c r="M154">
        <v>5</v>
      </c>
      <c r="N154" s="2">
        <v>0</v>
      </c>
      <c r="O154">
        <v>1777.15</v>
      </c>
      <c r="P154">
        <v>0</v>
      </c>
      <c r="Q154">
        <f>Sheet1__3_1_1_1[[#This Row],[Gross_Revenue]]-Sheet1__3_1_1_1[[#This Row],[Discount_Amount]]</f>
        <v>1777.15</v>
      </c>
      <c r="R154">
        <v>853.03</v>
      </c>
      <c r="S154">
        <f>Sheet1__3_1_1_1[[#This Row],[Net_Revenue]]-Sheet1__3_1_1_1[[#This Row],[COGS]]</f>
        <v>924.12000000000012</v>
      </c>
    </row>
    <row r="155" spans="1:19" x14ac:dyDescent="0.25">
      <c r="A155" t="s">
        <v>250</v>
      </c>
      <c r="B155" s="1">
        <v>45040</v>
      </c>
      <c r="C155" t="s">
        <v>44</v>
      </c>
      <c r="D155" t="s">
        <v>51</v>
      </c>
      <c r="E155" t="s">
        <v>39</v>
      </c>
      <c r="F155" t="s">
        <v>69</v>
      </c>
      <c r="G155" t="s">
        <v>73</v>
      </c>
      <c r="H155" t="s">
        <v>33</v>
      </c>
      <c r="I155" t="s">
        <v>42</v>
      </c>
      <c r="J155" t="s">
        <v>89</v>
      </c>
      <c r="K155" t="s">
        <v>36</v>
      </c>
      <c r="L155">
        <v>11.78</v>
      </c>
      <c r="M155">
        <v>4</v>
      </c>
      <c r="N155" s="2">
        <v>0.05</v>
      </c>
      <c r="O155">
        <v>47.12</v>
      </c>
      <c r="P155">
        <v>2.3559999999999999</v>
      </c>
      <c r="Q155">
        <f>Sheet1__3_1_1_1[[#This Row],[Gross_Revenue]]-Sheet1__3_1_1_1[[#This Row],[Discount_Amount]]</f>
        <v>44.763999999999996</v>
      </c>
      <c r="R155">
        <v>17.010000000000002</v>
      </c>
      <c r="S155">
        <f>Sheet1__3_1_1_1[[#This Row],[Net_Revenue]]-Sheet1__3_1_1_1[[#This Row],[COGS]]</f>
        <v>27.753999999999994</v>
      </c>
    </row>
    <row r="156" spans="1:19" x14ac:dyDescent="0.25">
      <c r="A156" t="s">
        <v>251</v>
      </c>
      <c r="B156" s="1">
        <v>44579</v>
      </c>
      <c r="C156" t="s">
        <v>19</v>
      </c>
      <c r="D156" t="s">
        <v>130</v>
      </c>
      <c r="E156" t="s">
        <v>39</v>
      </c>
      <c r="F156" t="s">
        <v>79</v>
      </c>
      <c r="G156" t="s">
        <v>56</v>
      </c>
      <c r="H156" t="s">
        <v>33</v>
      </c>
      <c r="I156" t="s">
        <v>42</v>
      </c>
      <c r="J156" t="s">
        <v>49</v>
      </c>
      <c r="K156" t="s">
        <v>27</v>
      </c>
      <c r="L156">
        <v>43.03</v>
      </c>
      <c r="M156">
        <v>4</v>
      </c>
      <c r="N156" s="2">
        <v>0.15</v>
      </c>
      <c r="O156">
        <v>172.12</v>
      </c>
      <c r="P156">
        <v>25.818000000000001</v>
      </c>
      <c r="Q156">
        <f>Sheet1__3_1_1_1[[#This Row],[Gross_Revenue]]-Sheet1__3_1_1_1[[#This Row],[Discount_Amount]]</f>
        <v>146.30199999999999</v>
      </c>
      <c r="R156">
        <v>90.71</v>
      </c>
      <c r="S156">
        <f>Sheet1__3_1_1_1[[#This Row],[Net_Revenue]]-Sheet1__3_1_1_1[[#This Row],[COGS]]</f>
        <v>55.591999999999999</v>
      </c>
    </row>
    <row r="157" spans="1:19" x14ac:dyDescent="0.25">
      <c r="A157" t="s">
        <v>252</v>
      </c>
      <c r="B157" s="1">
        <v>44795</v>
      </c>
      <c r="C157" t="s">
        <v>99</v>
      </c>
      <c r="D157" t="s">
        <v>148</v>
      </c>
      <c r="E157" t="s">
        <v>63</v>
      </c>
      <c r="F157" t="s">
        <v>22</v>
      </c>
      <c r="G157" t="s">
        <v>113</v>
      </c>
      <c r="H157" t="s">
        <v>106</v>
      </c>
      <c r="I157" t="s">
        <v>25</v>
      </c>
      <c r="J157" t="s">
        <v>35</v>
      </c>
      <c r="K157" t="s">
        <v>53</v>
      </c>
      <c r="L157">
        <v>11.9</v>
      </c>
      <c r="M157">
        <v>4</v>
      </c>
      <c r="N157" s="2">
        <v>0</v>
      </c>
      <c r="O157">
        <v>47.6</v>
      </c>
      <c r="P157">
        <v>0</v>
      </c>
      <c r="Q157">
        <f>Sheet1__3_1_1_1[[#This Row],[Gross_Revenue]]-Sheet1__3_1_1_1[[#This Row],[Discount_Amount]]</f>
        <v>47.6</v>
      </c>
      <c r="R157">
        <v>26.18</v>
      </c>
      <c r="S157">
        <f>Sheet1__3_1_1_1[[#This Row],[Net_Revenue]]-Sheet1__3_1_1_1[[#This Row],[COGS]]</f>
        <v>21.42</v>
      </c>
    </row>
    <row r="158" spans="1:19" x14ac:dyDescent="0.25">
      <c r="A158" t="s">
        <v>253</v>
      </c>
      <c r="B158" s="1">
        <v>44774</v>
      </c>
      <c r="C158" t="s">
        <v>44</v>
      </c>
      <c r="D158" t="s">
        <v>65</v>
      </c>
      <c r="E158" t="s">
        <v>39</v>
      </c>
      <c r="F158" t="s">
        <v>55</v>
      </c>
      <c r="G158" t="s">
        <v>83</v>
      </c>
      <c r="H158" t="s">
        <v>71</v>
      </c>
      <c r="I158" t="s">
        <v>60</v>
      </c>
      <c r="J158" t="s">
        <v>89</v>
      </c>
      <c r="K158" t="s">
        <v>36</v>
      </c>
      <c r="L158">
        <v>61.64</v>
      </c>
      <c r="M158">
        <v>6</v>
      </c>
      <c r="N158" s="2">
        <v>0.05</v>
      </c>
      <c r="O158">
        <v>369.84000000000003</v>
      </c>
      <c r="P158">
        <v>18.492000000000001</v>
      </c>
      <c r="Q158">
        <f>Sheet1__3_1_1_1[[#This Row],[Gross_Revenue]]-Sheet1__3_1_1_1[[#This Row],[Discount_Amount]]</f>
        <v>351.34800000000001</v>
      </c>
      <c r="R158">
        <v>147.57</v>
      </c>
      <c r="S158">
        <f>Sheet1__3_1_1_1[[#This Row],[Net_Revenue]]-Sheet1__3_1_1_1[[#This Row],[COGS]]</f>
        <v>203.77800000000002</v>
      </c>
    </row>
    <row r="159" spans="1:19" x14ac:dyDescent="0.25">
      <c r="A159" t="s">
        <v>254</v>
      </c>
      <c r="B159" s="1">
        <v>45244</v>
      </c>
      <c r="C159" t="s">
        <v>99</v>
      </c>
      <c r="D159" t="s">
        <v>132</v>
      </c>
      <c r="E159" t="s">
        <v>63</v>
      </c>
      <c r="F159" t="s">
        <v>31</v>
      </c>
      <c r="G159" t="s">
        <v>166</v>
      </c>
      <c r="H159" t="s">
        <v>41</v>
      </c>
      <c r="I159" t="s">
        <v>34</v>
      </c>
      <c r="J159" t="s">
        <v>35</v>
      </c>
      <c r="K159" t="s">
        <v>36</v>
      </c>
      <c r="L159">
        <v>292.41000000000003</v>
      </c>
      <c r="M159">
        <v>4</v>
      </c>
      <c r="N159" s="2">
        <v>0</v>
      </c>
      <c r="O159">
        <v>1169.6400000000001</v>
      </c>
      <c r="P159">
        <v>0</v>
      </c>
      <c r="Q159">
        <f>Sheet1__3_1_1_1[[#This Row],[Gross_Revenue]]-Sheet1__3_1_1_1[[#This Row],[Discount_Amount]]</f>
        <v>1169.6400000000001</v>
      </c>
      <c r="R159">
        <v>561.42999999999995</v>
      </c>
      <c r="S159">
        <f>Sheet1__3_1_1_1[[#This Row],[Net_Revenue]]-Sheet1__3_1_1_1[[#This Row],[COGS]]</f>
        <v>608.21000000000015</v>
      </c>
    </row>
    <row r="160" spans="1:19" x14ac:dyDescent="0.25">
      <c r="A160" t="s">
        <v>255</v>
      </c>
      <c r="B160" s="1">
        <v>45256</v>
      </c>
      <c r="C160" t="s">
        <v>99</v>
      </c>
      <c r="D160" t="s">
        <v>148</v>
      </c>
      <c r="E160" t="s">
        <v>63</v>
      </c>
      <c r="F160" t="s">
        <v>31</v>
      </c>
      <c r="G160" t="s">
        <v>93</v>
      </c>
      <c r="H160" t="s">
        <v>52</v>
      </c>
      <c r="I160" t="s">
        <v>25</v>
      </c>
      <c r="J160" t="s">
        <v>49</v>
      </c>
      <c r="K160" t="s">
        <v>36</v>
      </c>
      <c r="L160">
        <v>153.08000000000001</v>
      </c>
      <c r="M160">
        <v>8</v>
      </c>
      <c r="N160" s="2">
        <v>0.05</v>
      </c>
      <c r="O160">
        <v>1224.6400000000001</v>
      </c>
      <c r="P160">
        <v>61.232000000000006</v>
      </c>
      <c r="Q160">
        <f>Sheet1__3_1_1_1[[#This Row],[Gross_Revenue]]-Sheet1__3_1_1_1[[#This Row],[Discount_Amount]]</f>
        <v>1163.4080000000001</v>
      </c>
      <c r="R160">
        <v>558.44000000000005</v>
      </c>
      <c r="S160">
        <f>Sheet1__3_1_1_1[[#This Row],[Net_Revenue]]-Sheet1__3_1_1_1[[#This Row],[COGS]]</f>
        <v>604.96800000000007</v>
      </c>
    </row>
    <row r="161" spans="1:19" x14ac:dyDescent="0.25">
      <c r="A161" t="s">
        <v>256</v>
      </c>
      <c r="B161" s="1">
        <v>44995</v>
      </c>
      <c r="C161" t="s">
        <v>77</v>
      </c>
      <c r="D161" t="s">
        <v>110</v>
      </c>
      <c r="E161" t="s">
        <v>66</v>
      </c>
      <c r="F161" t="s">
        <v>69</v>
      </c>
      <c r="G161" t="s">
        <v>73</v>
      </c>
      <c r="H161" t="s">
        <v>47</v>
      </c>
      <c r="I161" t="s">
        <v>42</v>
      </c>
      <c r="J161" t="s">
        <v>35</v>
      </c>
      <c r="K161" t="s">
        <v>53</v>
      </c>
      <c r="L161">
        <v>11.5</v>
      </c>
      <c r="M161">
        <v>3</v>
      </c>
      <c r="N161" s="2">
        <v>0.1</v>
      </c>
      <c r="O161">
        <v>34.5</v>
      </c>
      <c r="P161">
        <v>3.45</v>
      </c>
      <c r="Q161">
        <f>Sheet1__3_1_1_1[[#This Row],[Gross_Revenue]]-Sheet1__3_1_1_1[[#This Row],[Discount_Amount]]</f>
        <v>31.05</v>
      </c>
      <c r="R161">
        <v>11.8</v>
      </c>
      <c r="S161">
        <f>Sheet1__3_1_1_1[[#This Row],[Net_Revenue]]-Sheet1__3_1_1_1[[#This Row],[COGS]]</f>
        <v>19.25</v>
      </c>
    </row>
    <row r="162" spans="1:19" x14ac:dyDescent="0.25">
      <c r="A162" t="s">
        <v>257</v>
      </c>
      <c r="B162" s="1">
        <v>44853</v>
      </c>
      <c r="C162" t="s">
        <v>29</v>
      </c>
      <c r="D162" t="s">
        <v>62</v>
      </c>
      <c r="E162" t="s">
        <v>39</v>
      </c>
      <c r="F162" t="s">
        <v>69</v>
      </c>
      <c r="G162" t="s">
        <v>126</v>
      </c>
      <c r="H162" t="s">
        <v>47</v>
      </c>
      <c r="I162" t="s">
        <v>48</v>
      </c>
      <c r="J162" t="s">
        <v>89</v>
      </c>
      <c r="K162" t="s">
        <v>36</v>
      </c>
      <c r="L162">
        <v>24.21</v>
      </c>
      <c r="M162">
        <v>2</v>
      </c>
      <c r="N162" s="2">
        <v>0.2</v>
      </c>
      <c r="O162">
        <v>48.42</v>
      </c>
      <c r="P162">
        <v>9.6840000000000011</v>
      </c>
      <c r="Q162">
        <f>Sheet1__3_1_1_1[[#This Row],[Gross_Revenue]]-Sheet1__3_1_1_1[[#This Row],[Discount_Amount]]</f>
        <v>38.736000000000004</v>
      </c>
      <c r="R162">
        <v>14.72</v>
      </c>
      <c r="S162">
        <f>Sheet1__3_1_1_1[[#This Row],[Net_Revenue]]-Sheet1__3_1_1_1[[#This Row],[COGS]]</f>
        <v>24.016000000000005</v>
      </c>
    </row>
    <row r="163" spans="1:19" x14ac:dyDescent="0.25">
      <c r="A163" t="s">
        <v>258</v>
      </c>
      <c r="B163" s="1">
        <v>44745</v>
      </c>
      <c r="C163" t="s">
        <v>29</v>
      </c>
      <c r="D163" t="s">
        <v>38</v>
      </c>
      <c r="E163" t="s">
        <v>21</v>
      </c>
      <c r="F163" t="s">
        <v>22</v>
      </c>
      <c r="G163" t="s">
        <v>23</v>
      </c>
      <c r="H163" t="s">
        <v>59</v>
      </c>
      <c r="I163" t="s">
        <v>60</v>
      </c>
      <c r="J163" t="s">
        <v>89</v>
      </c>
      <c r="K163" t="s">
        <v>27</v>
      </c>
      <c r="L163">
        <v>17.64</v>
      </c>
      <c r="M163">
        <v>9</v>
      </c>
      <c r="N163" s="2">
        <v>0.2</v>
      </c>
      <c r="O163">
        <v>158.76</v>
      </c>
      <c r="P163">
        <v>31.751999999999999</v>
      </c>
      <c r="Q163">
        <f>Sheet1__3_1_1_1[[#This Row],[Gross_Revenue]]-Sheet1__3_1_1_1[[#This Row],[Discount_Amount]]</f>
        <v>127.008</v>
      </c>
      <c r="R163">
        <v>69.86</v>
      </c>
      <c r="S163">
        <f>Sheet1__3_1_1_1[[#This Row],[Net_Revenue]]-Sheet1__3_1_1_1[[#This Row],[COGS]]</f>
        <v>57.147999999999996</v>
      </c>
    </row>
    <row r="164" spans="1:19" x14ac:dyDescent="0.25">
      <c r="A164" t="s">
        <v>259</v>
      </c>
      <c r="B164" s="1">
        <v>45029</v>
      </c>
      <c r="C164" t="s">
        <v>99</v>
      </c>
      <c r="D164" t="s">
        <v>148</v>
      </c>
      <c r="E164" t="s">
        <v>63</v>
      </c>
      <c r="F164" t="s">
        <v>69</v>
      </c>
      <c r="G164" t="s">
        <v>126</v>
      </c>
      <c r="H164" t="s">
        <v>47</v>
      </c>
      <c r="I164" t="s">
        <v>48</v>
      </c>
      <c r="J164" t="s">
        <v>94</v>
      </c>
      <c r="K164" t="s">
        <v>143</v>
      </c>
      <c r="L164">
        <v>22.43</v>
      </c>
      <c r="M164">
        <v>29</v>
      </c>
      <c r="N164" s="2">
        <v>0</v>
      </c>
      <c r="O164">
        <v>650.47</v>
      </c>
      <c r="P164">
        <v>0</v>
      </c>
      <c r="Q164">
        <f>Sheet1__3_1_1_1[[#This Row],[Gross_Revenue]]-Sheet1__3_1_1_1[[#This Row],[Discount_Amount]]</f>
        <v>650.47</v>
      </c>
      <c r="R164">
        <v>247.18</v>
      </c>
      <c r="S164">
        <f>Sheet1__3_1_1_1[[#This Row],[Net_Revenue]]-Sheet1__3_1_1_1[[#This Row],[COGS]]</f>
        <v>403.29</v>
      </c>
    </row>
    <row r="165" spans="1:19" x14ac:dyDescent="0.25">
      <c r="A165" t="s">
        <v>260</v>
      </c>
      <c r="B165" s="1">
        <v>44588</v>
      </c>
      <c r="C165" t="s">
        <v>19</v>
      </c>
      <c r="D165" t="s">
        <v>91</v>
      </c>
      <c r="E165" t="s">
        <v>39</v>
      </c>
      <c r="F165" t="s">
        <v>69</v>
      </c>
      <c r="G165" t="s">
        <v>73</v>
      </c>
      <c r="H165" t="s">
        <v>106</v>
      </c>
      <c r="I165" t="s">
        <v>25</v>
      </c>
      <c r="J165" t="s">
        <v>89</v>
      </c>
      <c r="K165" t="s">
        <v>36</v>
      </c>
      <c r="L165">
        <v>11.62</v>
      </c>
      <c r="M165">
        <v>4</v>
      </c>
      <c r="N165" s="2">
        <v>0.15</v>
      </c>
      <c r="O165">
        <v>46.48</v>
      </c>
      <c r="P165">
        <v>6.9719999999999995</v>
      </c>
      <c r="Q165">
        <f>Sheet1__3_1_1_1[[#This Row],[Gross_Revenue]]-Sheet1__3_1_1_1[[#This Row],[Discount_Amount]]</f>
        <v>39.507999999999996</v>
      </c>
      <c r="R165">
        <v>15.01</v>
      </c>
      <c r="S165">
        <f>Sheet1__3_1_1_1[[#This Row],[Net_Revenue]]-Sheet1__3_1_1_1[[#This Row],[COGS]]</f>
        <v>24.497999999999998</v>
      </c>
    </row>
    <row r="166" spans="1:19" x14ac:dyDescent="0.25">
      <c r="A166" t="s">
        <v>261</v>
      </c>
      <c r="B166" s="1">
        <v>45122</v>
      </c>
      <c r="C166" t="s">
        <v>44</v>
      </c>
      <c r="D166" t="s">
        <v>45</v>
      </c>
      <c r="E166" t="s">
        <v>39</v>
      </c>
      <c r="F166" t="s">
        <v>31</v>
      </c>
      <c r="G166" t="s">
        <v>40</v>
      </c>
      <c r="H166" t="s">
        <v>24</v>
      </c>
      <c r="I166" t="s">
        <v>60</v>
      </c>
      <c r="J166" t="s">
        <v>49</v>
      </c>
      <c r="K166" t="s">
        <v>36</v>
      </c>
      <c r="L166">
        <v>256.26</v>
      </c>
      <c r="M166">
        <v>4</v>
      </c>
      <c r="N166" s="2">
        <v>0.05</v>
      </c>
      <c r="O166">
        <v>1025.04</v>
      </c>
      <c r="P166">
        <v>51.252000000000002</v>
      </c>
      <c r="Q166">
        <f>Sheet1__3_1_1_1[[#This Row],[Gross_Revenue]]-Sheet1__3_1_1_1[[#This Row],[Discount_Amount]]</f>
        <v>973.78800000000001</v>
      </c>
      <c r="R166">
        <v>467.42</v>
      </c>
      <c r="S166">
        <f>Sheet1__3_1_1_1[[#This Row],[Net_Revenue]]-Sheet1__3_1_1_1[[#This Row],[COGS]]</f>
        <v>506.36799999999999</v>
      </c>
    </row>
    <row r="167" spans="1:19" x14ac:dyDescent="0.25">
      <c r="A167" t="s">
        <v>262</v>
      </c>
      <c r="B167" s="1">
        <v>44662</v>
      </c>
      <c r="C167" t="s">
        <v>19</v>
      </c>
      <c r="D167" t="s">
        <v>20</v>
      </c>
      <c r="E167" t="s">
        <v>21</v>
      </c>
      <c r="F167" t="s">
        <v>22</v>
      </c>
      <c r="G167" t="s">
        <v>113</v>
      </c>
      <c r="H167" t="s">
        <v>108</v>
      </c>
      <c r="I167" t="s">
        <v>60</v>
      </c>
      <c r="J167" t="s">
        <v>89</v>
      </c>
      <c r="K167" t="s">
        <v>36</v>
      </c>
      <c r="L167">
        <v>13.45</v>
      </c>
      <c r="M167">
        <v>6</v>
      </c>
      <c r="N167" s="2">
        <v>0</v>
      </c>
      <c r="O167">
        <v>80.699999999999989</v>
      </c>
      <c r="P167">
        <v>0</v>
      </c>
      <c r="Q167">
        <f>Sheet1__3_1_1_1[[#This Row],[Gross_Revenue]]-Sheet1__3_1_1_1[[#This Row],[Discount_Amount]]</f>
        <v>80.699999999999989</v>
      </c>
      <c r="R167">
        <v>44.39</v>
      </c>
      <c r="S167">
        <f>Sheet1__3_1_1_1[[#This Row],[Net_Revenue]]-Sheet1__3_1_1_1[[#This Row],[COGS]]</f>
        <v>36.309999999999988</v>
      </c>
    </row>
    <row r="168" spans="1:19" x14ac:dyDescent="0.25">
      <c r="A168" t="s">
        <v>263</v>
      </c>
      <c r="B168" s="1">
        <v>44916</v>
      </c>
      <c r="C168" t="s">
        <v>77</v>
      </c>
      <c r="D168" t="s">
        <v>82</v>
      </c>
      <c r="E168" t="s">
        <v>21</v>
      </c>
      <c r="F168" t="s">
        <v>22</v>
      </c>
      <c r="G168" t="s">
        <v>46</v>
      </c>
      <c r="H168" t="s">
        <v>108</v>
      </c>
      <c r="I168" t="s">
        <v>48</v>
      </c>
      <c r="J168" t="s">
        <v>49</v>
      </c>
      <c r="K168" t="s">
        <v>53</v>
      </c>
      <c r="L168">
        <v>20.309999999999999</v>
      </c>
      <c r="M168">
        <v>15</v>
      </c>
      <c r="N168" s="2">
        <v>0.05</v>
      </c>
      <c r="O168">
        <v>304.64999999999998</v>
      </c>
      <c r="P168">
        <v>15.2325</v>
      </c>
      <c r="Q168">
        <f>Sheet1__3_1_1_1[[#This Row],[Gross_Revenue]]-Sheet1__3_1_1_1[[#This Row],[Discount_Amount]]</f>
        <v>289.41749999999996</v>
      </c>
      <c r="R168">
        <v>159.18</v>
      </c>
      <c r="S168">
        <f>Sheet1__3_1_1_1[[#This Row],[Net_Revenue]]-Sheet1__3_1_1_1[[#This Row],[COGS]]</f>
        <v>130.23749999999995</v>
      </c>
    </row>
    <row r="169" spans="1:19" x14ac:dyDescent="0.25">
      <c r="A169" t="s">
        <v>264</v>
      </c>
      <c r="B169" s="1">
        <v>44842</v>
      </c>
      <c r="C169" t="s">
        <v>29</v>
      </c>
      <c r="D169" t="s">
        <v>38</v>
      </c>
      <c r="E169" t="s">
        <v>63</v>
      </c>
      <c r="F169" t="s">
        <v>22</v>
      </c>
      <c r="G169" t="s">
        <v>46</v>
      </c>
      <c r="H169" t="s">
        <v>87</v>
      </c>
      <c r="I169" t="s">
        <v>60</v>
      </c>
      <c r="J169" t="s">
        <v>94</v>
      </c>
      <c r="K169" t="s">
        <v>36</v>
      </c>
      <c r="L169">
        <v>19.43</v>
      </c>
      <c r="M169">
        <v>16</v>
      </c>
      <c r="N169" s="2">
        <v>0.05</v>
      </c>
      <c r="O169">
        <v>310.88</v>
      </c>
      <c r="P169">
        <v>15.544</v>
      </c>
      <c r="Q169">
        <f>Sheet1__3_1_1_1[[#This Row],[Gross_Revenue]]-Sheet1__3_1_1_1[[#This Row],[Discount_Amount]]</f>
        <v>295.33600000000001</v>
      </c>
      <c r="R169">
        <v>162.44</v>
      </c>
      <c r="S169">
        <f>Sheet1__3_1_1_1[[#This Row],[Net_Revenue]]-Sheet1__3_1_1_1[[#This Row],[COGS]]</f>
        <v>132.89600000000002</v>
      </c>
    </row>
    <row r="170" spans="1:19" x14ac:dyDescent="0.25">
      <c r="A170" t="s">
        <v>265</v>
      </c>
      <c r="B170" s="1">
        <v>44787</v>
      </c>
      <c r="C170" t="s">
        <v>19</v>
      </c>
      <c r="D170" t="s">
        <v>91</v>
      </c>
      <c r="E170" t="s">
        <v>21</v>
      </c>
      <c r="F170" t="s">
        <v>55</v>
      </c>
      <c r="G170" t="s">
        <v>67</v>
      </c>
      <c r="H170" t="s">
        <v>47</v>
      </c>
      <c r="I170" t="s">
        <v>48</v>
      </c>
      <c r="J170" t="s">
        <v>26</v>
      </c>
      <c r="K170" t="s">
        <v>36</v>
      </c>
      <c r="L170">
        <v>71.06</v>
      </c>
      <c r="M170">
        <v>2</v>
      </c>
      <c r="N170" s="2">
        <v>0</v>
      </c>
      <c r="O170">
        <v>142.12</v>
      </c>
      <c r="P170">
        <v>0</v>
      </c>
      <c r="Q170">
        <f>Sheet1__3_1_1_1[[#This Row],[Gross_Revenue]]-Sheet1__3_1_1_1[[#This Row],[Discount_Amount]]</f>
        <v>142.12</v>
      </c>
      <c r="R170">
        <v>59.69</v>
      </c>
      <c r="S170">
        <f>Sheet1__3_1_1_1[[#This Row],[Net_Revenue]]-Sheet1__3_1_1_1[[#This Row],[COGS]]</f>
        <v>82.43</v>
      </c>
    </row>
    <row r="171" spans="1:19" x14ac:dyDescent="0.25">
      <c r="A171" t="s">
        <v>266</v>
      </c>
      <c r="B171" s="1">
        <v>45046</v>
      </c>
      <c r="C171" t="s">
        <v>29</v>
      </c>
      <c r="D171" t="s">
        <v>30</v>
      </c>
      <c r="E171" t="s">
        <v>63</v>
      </c>
      <c r="F171" t="s">
        <v>31</v>
      </c>
      <c r="G171" t="s">
        <v>166</v>
      </c>
      <c r="H171" t="s">
        <v>59</v>
      </c>
      <c r="I171" t="s">
        <v>42</v>
      </c>
      <c r="J171" t="s">
        <v>49</v>
      </c>
      <c r="K171" t="s">
        <v>36</v>
      </c>
      <c r="L171">
        <v>344.07</v>
      </c>
      <c r="M171">
        <v>5</v>
      </c>
      <c r="N171" s="2">
        <v>0.05</v>
      </c>
      <c r="O171">
        <v>1720.35</v>
      </c>
      <c r="P171">
        <v>86.017499999999998</v>
      </c>
      <c r="Q171">
        <f>Sheet1__3_1_1_1[[#This Row],[Gross_Revenue]]-Sheet1__3_1_1_1[[#This Row],[Discount_Amount]]</f>
        <v>1634.3325</v>
      </c>
      <c r="R171">
        <v>784.48</v>
      </c>
      <c r="S171">
        <f>Sheet1__3_1_1_1[[#This Row],[Net_Revenue]]-Sheet1__3_1_1_1[[#This Row],[COGS]]</f>
        <v>849.85249999999996</v>
      </c>
    </row>
    <row r="172" spans="1:19" x14ac:dyDescent="0.25">
      <c r="A172" t="s">
        <v>267</v>
      </c>
      <c r="B172" s="1">
        <v>45018</v>
      </c>
      <c r="C172" t="s">
        <v>99</v>
      </c>
      <c r="D172" t="s">
        <v>132</v>
      </c>
      <c r="E172" t="s">
        <v>39</v>
      </c>
      <c r="F172" t="s">
        <v>22</v>
      </c>
      <c r="G172" t="s">
        <v>75</v>
      </c>
      <c r="H172" t="s">
        <v>33</v>
      </c>
      <c r="I172" t="s">
        <v>60</v>
      </c>
      <c r="J172" t="s">
        <v>26</v>
      </c>
      <c r="K172" t="s">
        <v>53</v>
      </c>
      <c r="L172">
        <v>12.03</v>
      </c>
      <c r="M172">
        <v>16</v>
      </c>
      <c r="N172" s="2">
        <v>0</v>
      </c>
      <c r="O172">
        <v>192.48</v>
      </c>
      <c r="P172">
        <v>0</v>
      </c>
      <c r="Q172">
        <f>Sheet1__3_1_1_1[[#This Row],[Gross_Revenue]]-Sheet1__3_1_1_1[[#This Row],[Discount_Amount]]</f>
        <v>192.48</v>
      </c>
      <c r="R172">
        <v>105.86</v>
      </c>
      <c r="S172">
        <f>Sheet1__3_1_1_1[[#This Row],[Net_Revenue]]-Sheet1__3_1_1_1[[#This Row],[COGS]]</f>
        <v>86.61999999999999</v>
      </c>
    </row>
    <row r="173" spans="1:19" x14ac:dyDescent="0.25">
      <c r="A173" t="s">
        <v>268</v>
      </c>
      <c r="B173" s="1">
        <v>44710</v>
      </c>
      <c r="C173" t="s">
        <v>99</v>
      </c>
      <c r="D173" t="s">
        <v>100</v>
      </c>
      <c r="E173" t="s">
        <v>21</v>
      </c>
      <c r="F173" t="s">
        <v>69</v>
      </c>
      <c r="G173" t="s">
        <v>126</v>
      </c>
      <c r="H173" t="s">
        <v>24</v>
      </c>
      <c r="I173" t="s">
        <v>34</v>
      </c>
      <c r="J173" t="s">
        <v>35</v>
      </c>
      <c r="K173" t="s">
        <v>36</v>
      </c>
      <c r="L173">
        <v>29.15</v>
      </c>
      <c r="M173">
        <v>8</v>
      </c>
      <c r="N173" s="2">
        <v>0.1</v>
      </c>
      <c r="O173">
        <v>233.2</v>
      </c>
      <c r="P173">
        <v>23.32</v>
      </c>
      <c r="Q173">
        <f>Sheet1__3_1_1_1[[#This Row],[Gross_Revenue]]-Sheet1__3_1_1_1[[#This Row],[Discount_Amount]]</f>
        <v>209.88</v>
      </c>
      <c r="R173">
        <v>79.75</v>
      </c>
      <c r="S173">
        <f>Sheet1__3_1_1_1[[#This Row],[Net_Revenue]]-Sheet1__3_1_1_1[[#This Row],[COGS]]</f>
        <v>130.13</v>
      </c>
    </row>
    <row r="174" spans="1:19" x14ac:dyDescent="0.25">
      <c r="A174" t="s">
        <v>269</v>
      </c>
      <c r="B174" s="1">
        <v>44812</v>
      </c>
      <c r="C174" t="s">
        <v>99</v>
      </c>
      <c r="D174" t="s">
        <v>132</v>
      </c>
      <c r="E174" t="s">
        <v>66</v>
      </c>
      <c r="F174" t="s">
        <v>69</v>
      </c>
      <c r="G174" t="s">
        <v>73</v>
      </c>
      <c r="H174" t="s">
        <v>41</v>
      </c>
      <c r="I174" t="s">
        <v>48</v>
      </c>
      <c r="J174" t="s">
        <v>94</v>
      </c>
      <c r="K174" t="s">
        <v>36</v>
      </c>
      <c r="L174">
        <v>10.34</v>
      </c>
      <c r="M174">
        <v>29</v>
      </c>
      <c r="N174" s="2">
        <v>0.15</v>
      </c>
      <c r="O174">
        <v>299.86</v>
      </c>
      <c r="P174">
        <v>44.978999999999999</v>
      </c>
      <c r="Q174">
        <f>Sheet1__3_1_1_1[[#This Row],[Gross_Revenue]]-Sheet1__3_1_1_1[[#This Row],[Discount_Amount]]</f>
        <v>254.88100000000003</v>
      </c>
      <c r="R174">
        <v>96.85</v>
      </c>
      <c r="S174">
        <f>Sheet1__3_1_1_1[[#This Row],[Net_Revenue]]-Sheet1__3_1_1_1[[#This Row],[COGS]]</f>
        <v>158.03100000000003</v>
      </c>
    </row>
    <row r="175" spans="1:19" x14ac:dyDescent="0.25">
      <c r="A175" t="s">
        <v>270</v>
      </c>
      <c r="B175" s="1">
        <v>44709</v>
      </c>
      <c r="C175" t="s">
        <v>44</v>
      </c>
      <c r="D175" t="s">
        <v>45</v>
      </c>
      <c r="E175" t="s">
        <v>66</v>
      </c>
      <c r="F175" t="s">
        <v>31</v>
      </c>
      <c r="G175" t="s">
        <v>32</v>
      </c>
      <c r="H175" t="s">
        <v>59</v>
      </c>
      <c r="I175" t="s">
        <v>34</v>
      </c>
      <c r="J175" t="s">
        <v>35</v>
      </c>
      <c r="K175" t="s">
        <v>36</v>
      </c>
      <c r="L175">
        <v>380.37</v>
      </c>
      <c r="M175">
        <v>1</v>
      </c>
      <c r="N175" s="2">
        <v>0.15</v>
      </c>
      <c r="O175">
        <v>380.37</v>
      </c>
      <c r="P175">
        <v>57.055500000000002</v>
      </c>
      <c r="Q175">
        <f>Sheet1__3_1_1_1[[#This Row],[Gross_Revenue]]-Sheet1__3_1_1_1[[#This Row],[Discount_Amount]]</f>
        <v>323.31450000000001</v>
      </c>
      <c r="R175">
        <v>155.19</v>
      </c>
      <c r="S175">
        <f>Sheet1__3_1_1_1[[#This Row],[Net_Revenue]]-Sheet1__3_1_1_1[[#This Row],[COGS]]</f>
        <v>168.12450000000001</v>
      </c>
    </row>
    <row r="176" spans="1:19" x14ac:dyDescent="0.25">
      <c r="A176" t="s">
        <v>271</v>
      </c>
      <c r="B176" s="1">
        <v>44729</v>
      </c>
      <c r="C176" t="s">
        <v>19</v>
      </c>
      <c r="D176" t="s">
        <v>91</v>
      </c>
      <c r="E176" t="s">
        <v>66</v>
      </c>
      <c r="F176" t="s">
        <v>22</v>
      </c>
      <c r="G176" t="s">
        <v>149</v>
      </c>
      <c r="H176" t="s">
        <v>71</v>
      </c>
      <c r="I176" t="s">
        <v>48</v>
      </c>
      <c r="J176" t="s">
        <v>94</v>
      </c>
      <c r="K176" t="s">
        <v>53</v>
      </c>
      <c r="L176">
        <v>19.37</v>
      </c>
      <c r="M176">
        <v>23</v>
      </c>
      <c r="N176" s="2">
        <v>0.2</v>
      </c>
      <c r="O176">
        <v>445.51000000000005</v>
      </c>
      <c r="P176">
        <v>89.102000000000018</v>
      </c>
      <c r="Q176">
        <f>Sheet1__3_1_1_1[[#This Row],[Gross_Revenue]]-Sheet1__3_1_1_1[[#This Row],[Discount_Amount]]</f>
        <v>356.40800000000002</v>
      </c>
      <c r="R176">
        <v>196.03</v>
      </c>
      <c r="S176">
        <f>Sheet1__3_1_1_1[[#This Row],[Net_Revenue]]-Sheet1__3_1_1_1[[#This Row],[COGS]]</f>
        <v>160.37800000000001</v>
      </c>
    </row>
    <row r="177" spans="1:19" x14ac:dyDescent="0.25">
      <c r="A177" t="s">
        <v>272</v>
      </c>
      <c r="B177" s="1">
        <v>44733</v>
      </c>
      <c r="C177" t="s">
        <v>29</v>
      </c>
      <c r="D177" t="s">
        <v>62</v>
      </c>
      <c r="E177" t="s">
        <v>63</v>
      </c>
      <c r="F177" t="s">
        <v>69</v>
      </c>
      <c r="G177" t="s">
        <v>70</v>
      </c>
      <c r="H177" t="s">
        <v>111</v>
      </c>
      <c r="I177" t="s">
        <v>42</v>
      </c>
      <c r="J177" t="s">
        <v>35</v>
      </c>
      <c r="K177" t="s">
        <v>36</v>
      </c>
      <c r="L177">
        <v>316.86</v>
      </c>
      <c r="M177">
        <v>26</v>
      </c>
      <c r="N177" s="2">
        <v>0</v>
      </c>
      <c r="O177">
        <v>8238.36</v>
      </c>
      <c r="P177">
        <v>0</v>
      </c>
      <c r="Q177">
        <f>Sheet1__3_1_1_1[[#This Row],[Gross_Revenue]]-Sheet1__3_1_1_1[[#This Row],[Discount_Amount]]</f>
        <v>8238.36</v>
      </c>
      <c r="R177">
        <v>3130.58</v>
      </c>
      <c r="S177">
        <f>Sheet1__3_1_1_1[[#This Row],[Net_Revenue]]-Sheet1__3_1_1_1[[#This Row],[COGS]]</f>
        <v>5107.7800000000007</v>
      </c>
    </row>
    <row r="178" spans="1:19" x14ac:dyDescent="0.25">
      <c r="A178" t="s">
        <v>273</v>
      </c>
      <c r="B178" s="1">
        <v>44757</v>
      </c>
      <c r="C178" t="s">
        <v>77</v>
      </c>
      <c r="D178" t="s">
        <v>78</v>
      </c>
      <c r="E178" t="s">
        <v>66</v>
      </c>
      <c r="F178" t="s">
        <v>31</v>
      </c>
      <c r="G178" t="s">
        <v>40</v>
      </c>
      <c r="H178" t="s">
        <v>59</v>
      </c>
      <c r="I178" t="s">
        <v>25</v>
      </c>
      <c r="J178" t="s">
        <v>26</v>
      </c>
      <c r="K178" t="s">
        <v>27</v>
      </c>
      <c r="L178">
        <v>187.49</v>
      </c>
      <c r="M178">
        <v>5</v>
      </c>
      <c r="N178" s="2">
        <v>0</v>
      </c>
      <c r="O178">
        <v>937.45</v>
      </c>
      <c r="P178">
        <v>0</v>
      </c>
      <c r="Q178">
        <f>Sheet1__3_1_1_1[[#This Row],[Gross_Revenue]]-Sheet1__3_1_1_1[[#This Row],[Discount_Amount]]</f>
        <v>937.45</v>
      </c>
      <c r="R178">
        <v>449.98</v>
      </c>
      <c r="S178">
        <f>Sheet1__3_1_1_1[[#This Row],[Net_Revenue]]-Sheet1__3_1_1_1[[#This Row],[COGS]]</f>
        <v>487.47</v>
      </c>
    </row>
    <row r="179" spans="1:19" x14ac:dyDescent="0.25">
      <c r="A179" t="s">
        <v>274</v>
      </c>
      <c r="B179" s="1">
        <v>44875</v>
      </c>
      <c r="C179" t="s">
        <v>19</v>
      </c>
      <c r="D179" t="s">
        <v>20</v>
      </c>
      <c r="E179" t="s">
        <v>66</v>
      </c>
      <c r="F179" t="s">
        <v>55</v>
      </c>
      <c r="G179" t="s">
        <v>120</v>
      </c>
      <c r="H179" t="s">
        <v>47</v>
      </c>
      <c r="I179" t="s">
        <v>48</v>
      </c>
      <c r="J179" t="s">
        <v>35</v>
      </c>
      <c r="K179" t="s">
        <v>36</v>
      </c>
      <c r="L179">
        <v>98.03</v>
      </c>
      <c r="M179">
        <v>4</v>
      </c>
      <c r="N179" s="2">
        <v>0</v>
      </c>
      <c r="O179">
        <v>392.12</v>
      </c>
      <c r="P179">
        <v>0</v>
      </c>
      <c r="Q179">
        <f>Sheet1__3_1_1_1[[#This Row],[Gross_Revenue]]-Sheet1__3_1_1_1[[#This Row],[Discount_Amount]]</f>
        <v>392.12</v>
      </c>
      <c r="R179">
        <v>164.69</v>
      </c>
      <c r="S179">
        <f>Sheet1__3_1_1_1[[#This Row],[Net_Revenue]]-Sheet1__3_1_1_1[[#This Row],[COGS]]</f>
        <v>227.43</v>
      </c>
    </row>
    <row r="180" spans="1:19" x14ac:dyDescent="0.25">
      <c r="A180" t="s">
        <v>275</v>
      </c>
      <c r="B180" s="1">
        <v>44634</v>
      </c>
      <c r="C180" t="s">
        <v>29</v>
      </c>
      <c r="D180" t="s">
        <v>38</v>
      </c>
      <c r="E180" t="s">
        <v>21</v>
      </c>
      <c r="F180" t="s">
        <v>79</v>
      </c>
      <c r="G180" t="s">
        <v>85</v>
      </c>
      <c r="H180" t="s">
        <v>41</v>
      </c>
      <c r="I180" t="s">
        <v>34</v>
      </c>
      <c r="J180" t="s">
        <v>89</v>
      </c>
      <c r="K180" t="s">
        <v>36</v>
      </c>
      <c r="L180">
        <v>949.95</v>
      </c>
      <c r="M180">
        <v>4</v>
      </c>
      <c r="N180" s="2">
        <v>0.1</v>
      </c>
      <c r="O180">
        <v>3799.8</v>
      </c>
      <c r="P180">
        <v>379.98</v>
      </c>
      <c r="Q180">
        <f>Sheet1__3_1_1_1[[#This Row],[Gross_Revenue]]-Sheet1__3_1_1_1[[#This Row],[Discount_Amount]]</f>
        <v>3419.82</v>
      </c>
      <c r="R180">
        <v>2120.29</v>
      </c>
      <c r="S180">
        <f>Sheet1__3_1_1_1[[#This Row],[Net_Revenue]]-Sheet1__3_1_1_1[[#This Row],[COGS]]</f>
        <v>1299.5300000000002</v>
      </c>
    </row>
    <row r="181" spans="1:19" x14ac:dyDescent="0.25">
      <c r="A181" t="s">
        <v>276</v>
      </c>
      <c r="B181" s="1">
        <v>45205</v>
      </c>
      <c r="C181" t="s">
        <v>77</v>
      </c>
      <c r="D181" t="s">
        <v>110</v>
      </c>
      <c r="E181" t="s">
        <v>66</v>
      </c>
      <c r="F181" t="s">
        <v>79</v>
      </c>
      <c r="G181" t="s">
        <v>96</v>
      </c>
      <c r="H181" t="s">
        <v>47</v>
      </c>
      <c r="I181" t="s">
        <v>48</v>
      </c>
      <c r="J181" t="s">
        <v>49</v>
      </c>
      <c r="K181" t="s">
        <v>36</v>
      </c>
      <c r="L181">
        <v>433.06</v>
      </c>
      <c r="M181">
        <v>3</v>
      </c>
      <c r="N181" s="2">
        <v>0</v>
      </c>
      <c r="O181">
        <v>1299.18</v>
      </c>
      <c r="P181">
        <v>0</v>
      </c>
      <c r="Q181">
        <f>Sheet1__3_1_1_1[[#This Row],[Gross_Revenue]]-Sheet1__3_1_1_1[[#This Row],[Discount_Amount]]</f>
        <v>1299.18</v>
      </c>
      <c r="R181">
        <v>805.49</v>
      </c>
      <c r="S181">
        <f>Sheet1__3_1_1_1[[#This Row],[Net_Revenue]]-Sheet1__3_1_1_1[[#This Row],[COGS]]</f>
        <v>493.69000000000005</v>
      </c>
    </row>
    <row r="182" spans="1:19" x14ac:dyDescent="0.25">
      <c r="A182" t="s">
        <v>277</v>
      </c>
      <c r="B182" s="1">
        <v>44901</v>
      </c>
      <c r="C182" t="s">
        <v>29</v>
      </c>
      <c r="D182" t="s">
        <v>38</v>
      </c>
      <c r="E182" t="s">
        <v>66</v>
      </c>
      <c r="F182" t="s">
        <v>79</v>
      </c>
      <c r="G182" t="s">
        <v>85</v>
      </c>
      <c r="H182" t="s">
        <v>57</v>
      </c>
      <c r="I182" t="s">
        <v>42</v>
      </c>
      <c r="J182" t="s">
        <v>89</v>
      </c>
      <c r="K182" t="s">
        <v>36</v>
      </c>
      <c r="L182">
        <v>1032.24</v>
      </c>
      <c r="M182">
        <v>7</v>
      </c>
      <c r="N182" s="2">
        <v>0.05</v>
      </c>
      <c r="O182">
        <v>7225.68</v>
      </c>
      <c r="P182">
        <v>361.28400000000005</v>
      </c>
      <c r="Q182">
        <f>Sheet1__3_1_1_1[[#This Row],[Gross_Revenue]]-Sheet1__3_1_1_1[[#This Row],[Discount_Amount]]</f>
        <v>6864.3960000000006</v>
      </c>
      <c r="R182">
        <v>4255.93</v>
      </c>
      <c r="S182">
        <f>Sheet1__3_1_1_1[[#This Row],[Net_Revenue]]-Sheet1__3_1_1_1[[#This Row],[COGS]]</f>
        <v>2608.4660000000003</v>
      </c>
    </row>
    <row r="183" spans="1:19" x14ac:dyDescent="0.25">
      <c r="A183" t="s">
        <v>278</v>
      </c>
      <c r="B183" s="1">
        <v>45017</v>
      </c>
      <c r="C183" t="s">
        <v>29</v>
      </c>
      <c r="D183" t="s">
        <v>62</v>
      </c>
      <c r="E183" t="s">
        <v>21</v>
      </c>
      <c r="F183" t="s">
        <v>69</v>
      </c>
      <c r="G183" t="s">
        <v>190</v>
      </c>
      <c r="H183" t="s">
        <v>87</v>
      </c>
      <c r="I183" t="s">
        <v>34</v>
      </c>
      <c r="J183" t="s">
        <v>89</v>
      </c>
      <c r="K183" t="s">
        <v>27</v>
      </c>
      <c r="L183">
        <v>21.72</v>
      </c>
      <c r="M183">
        <v>28</v>
      </c>
      <c r="N183" s="2">
        <v>0</v>
      </c>
      <c r="O183">
        <v>608.16</v>
      </c>
      <c r="P183">
        <v>0</v>
      </c>
      <c r="Q183">
        <f>Sheet1__3_1_1_1[[#This Row],[Gross_Revenue]]-Sheet1__3_1_1_1[[#This Row],[Discount_Amount]]</f>
        <v>608.16</v>
      </c>
      <c r="R183">
        <v>231.1</v>
      </c>
      <c r="S183">
        <f>Sheet1__3_1_1_1[[#This Row],[Net_Revenue]]-Sheet1__3_1_1_1[[#This Row],[COGS]]</f>
        <v>377.05999999999995</v>
      </c>
    </row>
    <row r="184" spans="1:19" x14ac:dyDescent="0.25">
      <c r="A184" t="s">
        <v>279</v>
      </c>
      <c r="B184" s="1">
        <v>44871</v>
      </c>
      <c r="C184" t="s">
        <v>44</v>
      </c>
      <c r="D184" t="s">
        <v>51</v>
      </c>
      <c r="E184" t="s">
        <v>21</v>
      </c>
      <c r="F184" t="s">
        <v>55</v>
      </c>
      <c r="G184" t="s">
        <v>56</v>
      </c>
      <c r="H184" t="s">
        <v>24</v>
      </c>
      <c r="I184" t="s">
        <v>34</v>
      </c>
      <c r="J184" t="s">
        <v>89</v>
      </c>
      <c r="K184" t="s">
        <v>143</v>
      </c>
      <c r="L184">
        <v>48.36</v>
      </c>
      <c r="M184">
        <v>5</v>
      </c>
      <c r="N184" s="2">
        <v>0</v>
      </c>
      <c r="O184">
        <v>241.8</v>
      </c>
      <c r="P184">
        <v>0</v>
      </c>
      <c r="Q184">
        <f>Sheet1__3_1_1_1[[#This Row],[Gross_Revenue]]-Sheet1__3_1_1_1[[#This Row],[Discount_Amount]]</f>
        <v>241.8</v>
      </c>
      <c r="R184">
        <v>101.56</v>
      </c>
      <c r="S184">
        <f>Sheet1__3_1_1_1[[#This Row],[Net_Revenue]]-Sheet1__3_1_1_1[[#This Row],[COGS]]</f>
        <v>140.24</v>
      </c>
    </row>
    <row r="185" spans="1:19" x14ac:dyDescent="0.25">
      <c r="A185" t="s">
        <v>280</v>
      </c>
      <c r="B185" s="1">
        <v>44759</v>
      </c>
      <c r="C185" t="s">
        <v>77</v>
      </c>
      <c r="D185" t="s">
        <v>78</v>
      </c>
      <c r="E185" t="s">
        <v>21</v>
      </c>
      <c r="F185" t="s">
        <v>69</v>
      </c>
      <c r="G185" t="s">
        <v>101</v>
      </c>
      <c r="H185" t="s">
        <v>71</v>
      </c>
      <c r="I185" t="s">
        <v>42</v>
      </c>
      <c r="J185" t="s">
        <v>89</v>
      </c>
      <c r="K185" t="s">
        <v>53</v>
      </c>
      <c r="L185">
        <v>9.81</v>
      </c>
      <c r="M185">
        <v>4</v>
      </c>
      <c r="N185" s="2">
        <v>0</v>
      </c>
      <c r="O185">
        <v>39.24</v>
      </c>
      <c r="P185">
        <v>0</v>
      </c>
      <c r="Q185">
        <f>Sheet1__3_1_1_1[[#This Row],[Gross_Revenue]]-Sheet1__3_1_1_1[[#This Row],[Discount_Amount]]</f>
        <v>39.24</v>
      </c>
      <c r="R185">
        <v>14.91</v>
      </c>
      <c r="S185">
        <f>Sheet1__3_1_1_1[[#This Row],[Net_Revenue]]-Sheet1__3_1_1_1[[#This Row],[COGS]]</f>
        <v>24.330000000000002</v>
      </c>
    </row>
    <row r="186" spans="1:19" x14ac:dyDescent="0.25">
      <c r="A186" t="s">
        <v>281</v>
      </c>
      <c r="B186" s="1">
        <v>44770</v>
      </c>
      <c r="C186" t="s">
        <v>44</v>
      </c>
      <c r="D186" t="s">
        <v>65</v>
      </c>
      <c r="E186" t="s">
        <v>39</v>
      </c>
      <c r="F186" t="s">
        <v>69</v>
      </c>
      <c r="G186" t="s">
        <v>70</v>
      </c>
      <c r="H186" t="s">
        <v>24</v>
      </c>
      <c r="I186" t="s">
        <v>48</v>
      </c>
      <c r="J186" t="s">
        <v>89</v>
      </c>
      <c r="K186" t="s">
        <v>36</v>
      </c>
      <c r="L186">
        <v>302.41000000000003</v>
      </c>
      <c r="M186">
        <v>26</v>
      </c>
      <c r="N186" s="2">
        <v>0.2</v>
      </c>
      <c r="O186">
        <v>7862.6600000000008</v>
      </c>
      <c r="P186">
        <v>1572.5320000000002</v>
      </c>
      <c r="Q186">
        <f>Sheet1__3_1_1_1[[#This Row],[Gross_Revenue]]-Sheet1__3_1_1_1[[#This Row],[Discount_Amount]]</f>
        <v>6290.1280000000006</v>
      </c>
      <c r="R186">
        <v>2390.25</v>
      </c>
      <c r="S186">
        <f>Sheet1__3_1_1_1[[#This Row],[Net_Revenue]]-Sheet1__3_1_1_1[[#This Row],[COGS]]</f>
        <v>3899.8780000000006</v>
      </c>
    </row>
    <row r="187" spans="1:19" x14ac:dyDescent="0.25">
      <c r="A187" t="s">
        <v>282</v>
      </c>
      <c r="B187" s="1">
        <v>44940</v>
      </c>
      <c r="C187" t="s">
        <v>29</v>
      </c>
      <c r="D187" t="s">
        <v>38</v>
      </c>
      <c r="E187" t="s">
        <v>66</v>
      </c>
      <c r="F187" t="s">
        <v>31</v>
      </c>
      <c r="G187" t="s">
        <v>122</v>
      </c>
      <c r="H187" t="s">
        <v>71</v>
      </c>
      <c r="I187" t="s">
        <v>25</v>
      </c>
      <c r="J187" t="s">
        <v>35</v>
      </c>
      <c r="K187" t="s">
        <v>36</v>
      </c>
      <c r="L187">
        <v>555.58000000000004</v>
      </c>
      <c r="M187">
        <v>6</v>
      </c>
      <c r="N187" s="2">
        <v>0</v>
      </c>
      <c r="O187">
        <v>3333.4800000000005</v>
      </c>
      <c r="P187">
        <v>0</v>
      </c>
      <c r="Q187">
        <f>Sheet1__3_1_1_1[[#This Row],[Gross_Revenue]]-Sheet1__3_1_1_1[[#This Row],[Discount_Amount]]</f>
        <v>3333.4800000000005</v>
      </c>
      <c r="R187">
        <v>1600.07</v>
      </c>
      <c r="S187">
        <f>Sheet1__3_1_1_1[[#This Row],[Net_Revenue]]-Sheet1__3_1_1_1[[#This Row],[COGS]]</f>
        <v>1733.4100000000005</v>
      </c>
    </row>
    <row r="188" spans="1:19" x14ac:dyDescent="0.25">
      <c r="A188" t="s">
        <v>283</v>
      </c>
      <c r="B188" s="1">
        <v>45181</v>
      </c>
      <c r="C188" t="s">
        <v>99</v>
      </c>
      <c r="D188" t="s">
        <v>100</v>
      </c>
      <c r="E188" t="s">
        <v>66</v>
      </c>
      <c r="F188" t="s">
        <v>55</v>
      </c>
      <c r="G188" t="s">
        <v>120</v>
      </c>
      <c r="H188" t="s">
        <v>41</v>
      </c>
      <c r="I188" t="s">
        <v>25</v>
      </c>
      <c r="J188" t="s">
        <v>49</v>
      </c>
      <c r="K188" t="s">
        <v>27</v>
      </c>
      <c r="L188">
        <v>116.8</v>
      </c>
      <c r="M188">
        <v>7</v>
      </c>
      <c r="N188" s="2">
        <v>0</v>
      </c>
      <c r="O188">
        <v>817.6</v>
      </c>
      <c r="P188">
        <v>0</v>
      </c>
      <c r="Q188">
        <f>Sheet1__3_1_1_1[[#This Row],[Gross_Revenue]]-Sheet1__3_1_1_1[[#This Row],[Discount_Amount]]</f>
        <v>817.6</v>
      </c>
      <c r="R188">
        <v>343.39</v>
      </c>
      <c r="S188">
        <f>Sheet1__3_1_1_1[[#This Row],[Net_Revenue]]-Sheet1__3_1_1_1[[#This Row],[COGS]]</f>
        <v>474.21000000000004</v>
      </c>
    </row>
    <row r="189" spans="1:19" x14ac:dyDescent="0.25">
      <c r="A189" t="s">
        <v>284</v>
      </c>
      <c r="B189" s="1">
        <v>44911</v>
      </c>
      <c r="C189" t="s">
        <v>19</v>
      </c>
      <c r="D189" t="s">
        <v>91</v>
      </c>
      <c r="E189" t="s">
        <v>66</v>
      </c>
      <c r="F189" t="s">
        <v>69</v>
      </c>
      <c r="G189" t="s">
        <v>70</v>
      </c>
      <c r="H189" t="s">
        <v>59</v>
      </c>
      <c r="I189" t="s">
        <v>34</v>
      </c>
      <c r="J189" t="s">
        <v>94</v>
      </c>
      <c r="K189" t="s">
        <v>53</v>
      </c>
      <c r="L189">
        <v>393.19</v>
      </c>
      <c r="M189">
        <v>17</v>
      </c>
      <c r="N189" s="2">
        <v>0</v>
      </c>
      <c r="O189">
        <v>6684.23</v>
      </c>
      <c r="P189">
        <v>0</v>
      </c>
      <c r="Q189">
        <f>Sheet1__3_1_1_1[[#This Row],[Gross_Revenue]]-Sheet1__3_1_1_1[[#This Row],[Discount_Amount]]</f>
        <v>6684.23</v>
      </c>
      <c r="R189">
        <v>2540.0100000000002</v>
      </c>
      <c r="S189">
        <f>Sheet1__3_1_1_1[[#This Row],[Net_Revenue]]-Sheet1__3_1_1_1[[#This Row],[COGS]]</f>
        <v>4144.2199999999993</v>
      </c>
    </row>
    <row r="190" spans="1:19" x14ac:dyDescent="0.25">
      <c r="A190" t="s">
        <v>285</v>
      </c>
      <c r="B190" s="1">
        <v>44961</v>
      </c>
      <c r="C190" t="s">
        <v>44</v>
      </c>
      <c r="D190" t="s">
        <v>45</v>
      </c>
      <c r="E190" t="s">
        <v>63</v>
      </c>
      <c r="F190" t="s">
        <v>55</v>
      </c>
      <c r="G190" t="s">
        <v>103</v>
      </c>
      <c r="H190" t="s">
        <v>41</v>
      </c>
      <c r="I190" t="s">
        <v>60</v>
      </c>
      <c r="J190" t="s">
        <v>26</v>
      </c>
      <c r="K190" t="s">
        <v>36</v>
      </c>
      <c r="L190">
        <v>152.09</v>
      </c>
      <c r="M190">
        <v>5</v>
      </c>
      <c r="N190" s="2">
        <v>0</v>
      </c>
      <c r="O190">
        <v>760.45</v>
      </c>
      <c r="P190">
        <v>0</v>
      </c>
      <c r="Q190">
        <f>Sheet1__3_1_1_1[[#This Row],[Gross_Revenue]]-Sheet1__3_1_1_1[[#This Row],[Discount_Amount]]</f>
        <v>760.45</v>
      </c>
      <c r="R190">
        <v>319.39</v>
      </c>
      <c r="S190">
        <f>Sheet1__3_1_1_1[[#This Row],[Net_Revenue]]-Sheet1__3_1_1_1[[#This Row],[COGS]]</f>
        <v>441.06000000000006</v>
      </c>
    </row>
    <row r="191" spans="1:19" x14ac:dyDescent="0.25">
      <c r="A191" t="s">
        <v>286</v>
      </c>
      <c r="B191" s="1">
        <v>44664</v>
      </c>
      <c r="C191" t="s">
        <v>77</v>
      </c>
      <c r="D191" t="s">
        <v>78</v>
      </c>
      <c r="E191" t="s">
        <v>63</v>
      </c>
      <c r="F191" t="s">
        <v>79</v>
      </c>
      <c r="G191" t="s">
        <v>85</v>
      </c>
      <c r="H191" t="s">
        <v>111</v>
      </c>
      <c r="I191" t="s">
        <v>34</v>
      </c>
      <c r="J191" t="s">
        <v>35</v>
      </c>
      <c r="K191" t="s">
        <v>36</v>
      </c>
      <c r="L191">
        <v>813.5</v>
      </c>
      <c r="M191">
        <v>1</v>
      </c>
      <c r="N191" s="2">
        <v>0.2</v>
      </c>
      <c r="O191">
        <v>813.5</v>
      </c>
      <c r="P191">
        <v>162.70000000000002</v>
      </c>
      <c r="Q191">
        <f>Sheet1__3_1_1_1[[#This Row],[Gross_Revenue]]-Sheet1__3_1_1_1[[#This Row],[Discount_Amount]]</f>
        <v>650.79999999999995</v>
      </c>
      <c r="R191">
        <v>403.5</v>
      </c>
      <c r="S191">
        <f>Sheet1__3_1_1_1[[#This Row],[Net_Revenue]]-Sheet1__3_1_1_1[[#This Row],[COGS]]</f>
        <v>247.29999999999995</v>
      </c>
    </row>
    <row r="192" spans="1:19" x14ac:dyDescent="0.25">
      <c r="A192" t="s">
        <v>287</v>
      </c>
      <c r="B192" s="1">
        <v>45263</v>
      </c>
      <c r="C192" t="s">
        <v>44</v>
      </c>
      <c r="D192" t="s">
        <v>65</v>
      </c>
      <c r="E192" t="s">
        <v>39</v>
      </c>
      <c r="F192" t="s">
        <v>69</v>
      </c>
      <c r="G192" t="s">
        <v>101</v>
      </c>
      <c r="H192" t="s">
        <v>41</v>
      </c>
      <c r="I192" t="s">
        <v>48</v>
      </c>
      <c r="J192" t="s">
        <v>35</v>
      </c>
      <c r="K192" t="s">
        <v>53</v>
      </c>
      <c r="L192">
        <v>9.6300000000000008</v>
      </c>
      <c r="M192">
        <v>16</v>
      </c>
      <c r="N192" s="2">
        <v>0</v>
      </c>
      <c r="O192">
        <v>154.08000000000001</v>
      </c>
      <c r="P192">
        <v>0</v>
      </c>
      <c r="Q192">
        <f>Sheet1__3_1_1_1[[#This Row],[Gross_Revenue]]-Sheet1__3_1_1_1[[#This Row],[Discount_Amount]]</f>
        <v>154.08000000000001</v>
      </c>
      <c r="R192">
        <v>58.55</v>
      </c>
      <c r="S192">
        <f>Sheet1__3_1_1_1[[#This Row],[Net_Revenue]]-Sheet1__3_1_1_1[[#This Row],[COGS]]</f>
        <v>95.530000000000015</v>
      </c>
    </row>
    <row r="193" spans="1:19" x14ac:dyDescent="0.25">
      <c r="A193" t="s">
        <v>288</v>
      </c>
      <c r="B193" s="1">
        <v>44945</v>
      </c>
      <c r="C193" t="s">
        <v>44</v>
      </c>
      <c r="D193" t="s">
        <v>45</v>
      </c>
      <c r="E193" t="s">
        <v>21</v>
      </c>
      <c r="F193" t="s">
        <v>31</v>
      </c>
      <c r="G193" t="s">
        <v>32</v>
      </c>
      <c r="H193" t="s">
        <v>33</v>
      </c>
      <c r="I193" t="s">
        <v>42</v>
      </c>
      <c r="J193" t="s">
        <v>26</v>
      </c>
      <c r="K193" t="s">
        <v>36</v>
      </c>
      <c r="L193">
        <v>459.49</v>
      </c>
      <c r="M193">
        <v>7</v>
      </c>
      <c r="N193" s="2">
        <v>0</v>
      </c>
      <c r="O193">
        <v>3216.4300000000003</v>
      </c>
      <c r="P193">
        <v>0</v>
      </c>
      <c r="Q193">
        <f>Sheet1__3_1_1_1[[#This Row],[Gross_Revenue]]-Sheet1__3_1_1_1[[#This Row],[Discount_Amount]]</f>
        <v>3216.4300000000003</v>
      </c>
      <c r="R193">
        <v>1543.89</v>
      </c>
      <c r="S193">
        <f>Sheet1__3_1_1_1[[#This Row],[Net_Revenue]]-Sheet1__3_1_1_1[[#This Row],[COGS]]</f>
        <v>1672.5400000000002</v>
      </c>
    </row>
    <row r="194" spans="1:19" x14ac:dyDescent="0.25">
      <c r="A194" t="s">
        <v>289</v>
      </c>
      <c r="B194" s="1">
        <v>44567</v>
      </c>
      <c r="C194" t="s">
        <v>29</v>
      </c>
      <c r="D194" t="s">
        <v>30</v>
      </c>
      <c r="E194" t="s">
        <v>21</v>
      </c>
      <c r="F194" t="s">
        <v>79</v>
      </c>
      <c r="G194" t="s">
        <v>85</v>
      </c>
      <c r="H194" t="s">
        <v>111</v>
      </c>
      <c r="I194" t="s">
        <v>42</v>
      </c>
      <c r="J194" t="s">
        <v>49</v>
      </c>
      <c r="K194" t="s">
        <v>36</v>
      </c>
      <c r="L194">
        <v>956.39</v>
      </c>
      <c r="M194">
        <v>7</v>
      </c>
      <c r="N194" s="2">
        <v>0</v>
      </c>
      <c r="O194">
        <v>6694.73</v>
      </c>
      <c r="P194">
        <v>0</v>
      </c>
      <c r="Q194">
        <f>Sheet1__3_1_1_1[[#This Row],[Gross_Revenue]]-Sheet1__3_1_1_1[[#This Row],[Discount_Amount]]</f>
        <v>6694.73</v>
      </c>
      <c r="R194">
        <v>4150.7299999999996</v>
      </c>
      <c r="S194">
        <f>Sheet1__3_1_1_1[[#This Row],[Net_Revenue]]-Sheet1__3_1_1_1[[#This Row],[COGS]]</f>
        <v>2544</v>
      </c>
    </row>
    <row r="195" spans="1:19" x14ac:dyDescent="0.25">
      <c r="A195" t="s">
        <v>290</v>
      </c>
      <c r="B195" s="1">
        <v>44845</v>
      </c>
      <c r="C195" t="s">
        <v>99</v>
      </c>
      <c r="D195" t="s">
        <v>132</v>
      </c>
      <c r="E195" t="s">
        <v>21</v>
      </c>
      <c r="F195" t="s">
        <v>79</v>
      </c>
      <c r="G195" t="s">
        <v>85</v>
      </c>
      <c r="H195" t="s">
        <v>41</v>
      </c>
      <c r="I195" t="s">
        <v>34</v>
      </c>
      <c r="J195" t="s">
        <v>89</v>
      </c>
      <c r="K195" t="s">
        <v>36</v>
      </c>
      <c r="L195">
        <v>789.36</v>
      </c>
      <c r="M195">
        <v>6</v>
      </c>
      <c r="N195" s="2">
        <v>0</v>
      </c>
      <c r="O195">
        <v>4736.16</v>
      </c>
      <c r="P195">
        <v>0</v>
      </c>
      <c r="Q195">
        <f>Sheet1__3_1_1_1[[#This Row],[Gross_Revenue]]-Sheet1__3_1_1_1[[#This Row],[Discount_Amount]]</f>
        <v>4736.16</v>
      </c>
      <c r="R195">
        <v>2936.42</v>
      </c>
      <c r="S195">
        <f>Sheet1__3_1_1_1[[#This Row],[Net_Revenue]]-Sheet1__3_1_1_1[[#This Row],[COGS]]</f>
        <v>1799.7399999999998</v>
      </c>
    </row>
    <row r="196" spans="1:19" x14ac:dyDescent="0.25">
      <c r="A196" t="s">
        <v>291</v>
      </c>
      <c r="B196" s="1">
        <v>45126</v>
      </c>
      <c r="C196" t="s">
        <v>19</v>
      </c>
      <c r="D196" t="s">
        <v>130</v>
      </c>
      <c r="E196" t="s">
        <v>66</v>
      </c>
      <c r="F196" t="s">
        <v>55</v>
      </c>
      <c r="G196" t="s">
        <v>103</v>
      </c>
      <c r="H196" t="s">
        <v>47</v>
      </c>
      <c r="I196" t="s">
        <v>25</v>
      </c>
      <c r="J196" t="s">
        <v>35</v>
      </c>
      <c r="K196" t="s">
        <v>36</v>
      </c>
      <c r="L196">
        <v>148.66</v>
      </c>
      <c r="M196">
        <v>5</v>
      </c>
      <c r="N196" s="2">
        <v>0.05</v>
      </c>
      <c r="O196">
        <v>743.3</v>
      </c>
      <c r="P196">
        <v>37.164999999999999</v>
      </c>
      <c r="Q196">
        <f>Sheet1__3_1_1_1[[#This Row],[Gross_Revenue]]-Sheet1__3_1_1_1[[#This Row],[Discount_Amount]]</f>
        <v>706.13499999999999</v>
      </c>
      <c r="R196">
        <v>296.58</v>
      </c>
      <c r="S196">
        <f>Sheet1__3_1_1_1[[#This Row],[Net_Revenue]]-Sheet1__3_1_1_1[[#This Row],[COGS]]</f>
        <v>409.55500000000001</v>
      </c>
    </row>
    <row r="197" spans="1:19" x14ac:dyDescent="0.25">
      <c r="A197" t="s">
        <v>292</v>
      </c>
      <c r="B197" s="1">
        <v>45068</v>
      </c>
      <c r="C197" t="s">
        <v>99</v>
      </c>
      <c r="D197" t="s">
        <v>100</v>
      </c>
      <c r="E197" t="s">
        <v>39</v>
      </c>
      <c r="F197" t="s">
        <v>55</v>
      </c>
      <c r="G197" t="s">
        <v>120</v>
      </c>
      <c r="H197" t="s">
        <v>24</v>
      </c>
      <c r="I197" t="s">
        <v>25</v>
      </c>
      <c r="J197" t="s">
        <v>89</v>
      </c>
      <c r="K197" t="s">
        <v>27</v>
      </c>
      <c r="L197">
        <v>120.19</v>
      </c>
      <c r="M197">
        <v>7</v>
      </c>
      <c r="N197" s="2">
        <v>0</v>
      </c>
      <c r="O197">
        <v>841.32999999999993</v>
      </c>
      <c r="P197">
        <v>0</v>
      </c>
      <c r="Q197">
        <f>Sheet1__3_1_1_1[[#This Row],[Gross_Revenue]]-Sheet1__3_1_1_1[[#This Row],[Discount_Amount]]</f>
        <v>841.32999999999993</v>
      </c>
      <c r="R197">
        <v>353.36</v>
      </c>
      <c r="S197">
        <f>Sheet1__3_1_1_1[[#This Row],[Net_Revenue]]-Sheet1__3_1_1_1[[#This Row],[COGS]]</f>
        <v>487.96999999999991</v>
      </c>
    </row>
    <row r="198" spans="1:19" x14ac:dyDescent="0.25">
      <c r="A198" t="s">
        <v>293</v>
      </c>
      <c r="B198" s="1">
        <v>44623</v>
      </c>
      <c r="C198" t="s">
        <v>99</v>
      </c>
      <c r="D198" t="s">
        <v>148</v>
      </c>
      <c r="E198" t="s">
        <v>21</v>
      </c>
      <c r="F198" t="s">
        <v>55</v>
      </c>
      <c r="G198" t="s">
        <v>83</v>
      </c>
      <c r="H198" t="s">
        <v>108</v>
      </c>
      <c r="I198" t="s">
        <v>42</v>
      </c>
      <c r="J198" t="s">
        <v>26</v>
      </c>
      <c r="K198" t="s">
        <v>36</v>
      </c>
      <c r="L198" t="s">
        <v>1147</v>
      </c>
      <c r="M198">
        <v>5</v>
      </c>
      <c r="N198" s="2">
        <v>0</v>
      </c>
      <c r="O198">
        <v>0</v>
      </c>
      <c r="P198">
        <v>0</v>
      </c>
      <c r="Q198">
        <f>Sheet1__3_1_1_1[[#This Row],[Gross_Revenue]]-Sheet1__3_1_1_1[[#This Row],[Discount_Amount]]</f>
        <v>0</v>
      </c>
      <c r="R198" t="s">
        <v>1147</v>
      </c>
      <c r="S198" t="e">
        <f>Sheet1__3_1_1_1[[#This Row],[Net_Revenue]]-Sheet1__3_1_1_1[[#This Row],[COGS]]</f>
        <v>#VALUE!</v>
      </c>
    </row>
    <row r="199" spans="1:19" x14ac:dyDescent="0.25">
      <c r="A199" t="s">
        <v>294</v>
      </c>
      <c r="B199" s="1">
        <v>44847</v>
      </c>
      <c r="C199" t="s">
        <v>44</v>
      </c>
      <c r="D199" t="s">
        <v>65</v>
      </c>
      <c r="E199" t="s">
        <v>21</v>
      </c>
      <c r="F199" t="s">
        <v>31</v>
      </c>
      <c r="G199" t="s">
        <v>40</v>
      </c>
      <c r="H199" t="s">
        <v>106</v>
      </c>
      <c r="I199" t="s">
        <v>25</v>
      </c>
      <c r="J199" t="s">
        <v>26</v>
      </c>
      <c r="K199" t="s">
        <v>36</v>
      </c>
      <c r="L199">
        <v>230.9</v>
      </c>
      <c r="M199">
        <v>7</v>
      </c>
      <c r="N199" s="2">
        <v>0</v>
      </c>
      <c r="O199">
        <v>1616.3</v>
      </c>
      <c r="P199">
        <v>0</v>
      </c>
      <c r="Q199">
        <f>Sheet1__3_1_1_1[[#This Row],[Gross_Revenue]]-Sheet1__3_1_1_1[[#This Row],[Discount_Amount]]</f>
        <v>1616.3</v>
      </c>
      <c r="R199">
        <v>775.82</v>
      </c>
      <c r="S199">
        <f>Sheet1__3_1_1_1[[#This Row],[Net_Revenue]]-Sheet1__3_1_1_1[[#This Row],[COGS]]</f>
        <v>840.4799999999999</v>
      </c>
    </row>
    <row r="200" spans="1:19" x14ac:dyDescent="0.25">
      <c r="A200" t="s">
        <v>295</v>
      </c>
      <c r="B200" s="1">
        <v>44915</v>
      </c>
      <c r="C200" t="s">
        <v>77</v>
      </c>
      <c r="D200" t="s">
        <v>82</v>
      </c>
      <c r="E200" t="s">
        <v>39</v>
      </c>
      <c r="F200" t="s">
        <v>69</v>
      </c>
      <c r="G200" t="s">
        <v>73</v>
      </c>
      <c r="H200" t="s">
        <v>47</v>
      </c>
      <c r="I200" t="s">
        <v>34</v>
      </c>
      <c r="J200" t="s">
        <v>26</v>
      </c>
      <c r="K200" t="s">
        <v>36</v>
      </c>
      <c r="L200">
        <v>10.79</v>
      </c>
      <c r="M200">
        <v>15</v>
      </c>
      <c r="N200" s="2">
        <v>0</v>
      </c>
      <c r="O200">
        <v>161.85</v>
      </c>
      <c r="P200">
        <v>0</v>
      </c>
      <c r="Q200">
        <f>Sheet1__3_1_1_1[[#This Row],[Gross_Revenue]]-Sheet1__3_1_1_1[[#This Row],[Discount_Amount]]</f>
        <v>161.85</v>
      </c>
      <c r="R200">
        <v>61.5</v>
      </c>
      <c r="S200">
        <f>Sheet1__3_1_1_1[[#This Row],[Net_Revenue]]-Sheet1__3_1_1_1[[#This Row],[COGS]]</f>
        <v>100.35</v>
      </c>
    </row>
    <row r="201" spans="1:19" x14ac:dyDescent="0.25">
      <c r="A201" t="s">
        <v>296</v>
      </c>
      <c r="B201" s="1">
        <v>44873</v>
      </c>
      <c r="C201" t="s">
        <v>77</v>
      </c>
      <c r="D201" t="s">
        <v>110</v>
      </c>
      <c r="E201" t="s">
        <v>63</v>
      </c>
      <c r="F201" t="s">
        <v>79</v>
      </c>
      <c r="G201" t="s">
        <v>85</v>
      </c>
      <c r="H201" t="s">
        <v>41</v>
      </c>
      <c r="I201" t="s">
        <v>42</v>
      </c>
      <c r="J201" t="s">
        <v>89</v>
      </c>
      <c r="K201" t="s">
        <v>36</v>
      </c>
      <c r="L201">
        <v>738.73</v>
      </c>
      <c r="M201">
        <v>2</v>
      </c>
      <c r="N201" s="2">
        <v>0.05</v>
      </c>
      <c r="O201">
        <v>1477.46</v>
      </c>
      <c r="P201">
        <v>73.873000000000005</v>
      </c>
      <c r="Q201">
        <f>Sheet1__3_1_1_1[[#This Row],[Gross_Revenue]]-Sheet1__3_1_1_1[[#This Row],[Discount_Amount]]</f>
        <v>1403.587</v>
      </c>
      <c r="R201">
        <v>870.23</v>
      </c>
      <c r="S201">
        <f>Sheet1__3_1_1_1[[#This Row],[Net_Revenue]]-Sheet1__3_1_1_1[[#This Row],[COGS]]</f>
        <v>533.35699999999997</v>
      </c>
    </row>
    <row r="202" spans="1:19" x14ac:dyDescent="0.25">
      <c r="A202" t="s">
        <v>297</v>
      </c>
      <c r="B202" s="1">
        <v>44767</v>
      </c>
      <c r="C202" t="s">
        <v>99</v>
      </c>
      <c r="D202" t="s">
        <v>148</v>
      </c>
      <c r="E202" t="s">
        <v>63</v>
      </c>
      <c r="F202" t="s">
        <v>69</v>
      </c>
      <c r="G202" t="s">
        <v>101</v>
      </c>
      <c r="H202" t="s">
        <v>57</v>
      </c>
      <c r="I202" t="s">
        <v>60</v>
      </c>
      <c r="J202" t="s">
        <v>35</v>
      </c>
      <c r="K202" t="s">
        <v>53</v>
      </c>
      <c r="L202">
        <v>9.1199999999999992</v>
      </c>
      <c r="M202">
        <v>5</v>
      </c>
      <c r="N202" s="2">
        <v>0.15</v>
      </c>
      <c r="O202">
        <v>45.599999999999994</v>
      </c>
      <c r="P202">
        <v>6.839999999999999</v>
      </c>
      <c r="Q202">
        <f>Sheet1__3_1_1_1[[#This Row],[Gross_Revenue]]-Sheet1__3_1_1_1[[#This Row],[Discount_Amount]]</f>
        <v>38.76</v>
      </c>
      <c r="R202">
        <v>14.73</v>
      </c>
      <c r="S202">
        <f>Sheet1__3_1_1_1[[#This Row],[Net_Revenue]]-Sheet1__3_1_1_1[[#This Row],[COGS]]</f>
        <v>24.029999999999998</v>
      </c>
    </row>
    <row r="203" spans="1:19" x14ac:dyDescent="0.25">
      <c r="A203" t="s">
        <v>298</v>
      </c>
      <c r="B203" s="1">
        <v>44847</v>
      </c>
      <c r="C203" t="s">
        <v>44</v>
      </c>
      <c r="D203" t="s">
        <v>51</v>
      </c>
      <c r="E203" t="s">
        <v>39</v>
      </c>
      <c r="F203" t="s">
        <v>69</v>
      </c>
      <c r="G203" t="s">
        <v>70</v>
      </c>
      <c r="H203" t="s">
        <v>41</v>
      </c>
      <c r="I203" t="s">
        <v>25</v>
      </c>
      <c r="J203" t="s">
        <v>89</v>
      </c>
      <c r="K203" t="s">
        <v>53</v>
      </c>
      <c r="L203">
        <v>337.46</v>
      </c>
      <c r="M203">
        <v>5</v>
      </c>
      <c r="N203" s="2">
        <v>0.2</v>
      </c>
      <c r="O203">
        <v>1687.3</v>
      </c>
      <c r="P203">
        <v>337.46000000000004</v>
      </c>
      <c r="Q203">
        <f>Sheet1__3_1_1_1[[#This Row],[Gross_Revenue]]-Sheet1__3_1_1_1[[#This Row],[Discount_Amount]]</f>
        <v>1349.84</v>
      </c>
      <c r="R203">
        <v>512.94000000000005</v>
      </c>
      <c r="S203">
        <f>Sheet1__3_1_1_1[[#This Row],[Net_Revenue]]-Sheet1__3_1_1_1[[#This Row],[COGS]]</f>
        <v>836.89999999999986</v>
      </c>
    </row>
    <row r="204" spans="1:19" x14ac:dyDescent="0.25">
      <c r="A204" t="s">
        <v>299</v>
      </c>
      <c r="B204" s="1">
        <v>44591</v>
      </c>
      <c r="C204" t="s">
        <v>77</v>
      </c>
      <c r="D204" t="s">
        <v>110</v>
      </c>
      <c r="E204" t="s">
        <v>63</v>
      </c>
      <c r="F204" t="s">
        <v>22</v>
      </c>
      <c r="G204" t="s">
        <v>113</v>
      </c>
      <c r="H204" t="s">
        <v>41</v>
      </c>
      <c r="I204" t="s">
        <v>42</v>
      </c>
      <c r="J204" t="s">
        <v>49</v>
      </c>
      <c r="K204" t="s">
        <v>27</v>
      </c>
      <c r="L204">
        <v>11.9</v>
      </c>
      <c r="M204">
        <v>7</v>
      </c>
      <c r="N204" s="2">
        <v>0</v>
      </c>
      <c r="O204">
        <v>83.3</v>
      </c>
      <c r="P204">
        <v>0</v>
      </c>
      <c r="Q204">
        <f>Sheet1__3_1_1_1[[#This Row],[Gross_Revenue]]-Sheet1__3_1_1_1[[#This Row],[Discount_Amount]]</f>
        <v>83.3</v>
      </c>
      <c r="R204">
        <v>45.82</v>
      </c>
      <c r="S204">
        <f>Sheet1__3_1_1_1[[#This Row],[Net_Revenue]]-Sheet1__3_1_1_1[[#This Row],[COGS]]</f>
        <v>37.479999999999997</v>
      </c>
    </row>
    <row r="205" spans="1:19" x14ac:dyDescent="0.25">
      <c r="A205" t="s">
        <v>300</v>
      </c>
      <c r="B205" s="1">
        <v>44715</v>
      </c>
      <c r="C205" t="s">
        <v>77</v>
      </c>
      <c r="D205" t="s">
        <v>82</v>
      </c>
      <c r="E205" t="s">
        <v>21</v>
      </c>
      <c r="F205" t="s">
        <v>31</v>
      </c>
      <c r="G205" t="s">
        <v>166</v>
      </c>
      <c r="H205" t="s">
        <v>108</v>
      </c>
      <c r="I205" t="s">
        <v>60</v>
      </c>
      <c r="J205" t="s">
        <v>89</v>
      </c>
      <c r="K205" t="s">
        <v>27</v>
      </c>
      <c r="L205">
        <v>337.6</v>
      </c>
      <c r="M205">
        <v>5</v>
      </c>
      <c r="N205" s="2">
        <v>0</v>
      </c>
      <c r="O205">
        <v>1688</v>
      </c>
      <c r="P205">
        <v>0</v>
      </c>
      <c r="Q205">
        <f>Sheet1__3_1_1_1[[#This Row],[Gross_Revenue]]-Sheet1__3_1_1_1[[#This Row],[Discount_Amount]]</f>
        <v>1688</v>
      </c>
      <c r="R205">
        <v>810.24</v>
      </c>
      <c r="S205">
        <f>Sheet1__3_1_1_1[[#This Row],[Net_Revenue]]-Sheet1__3_1_1_1[[#This Row],[COGS]]</f>
        <v>877.76</v>
      </c>
    </row>
    <row r="206" spans="1:19" x14ac:dyDescent="0.25">
      <c r="A206" t="s">
        <v>301</v>
      </c>
      <c r="B206" s="1">
        <v>44996</v>
      </c>
      <c r="C206" t="s">
        <v>99</v>
      </c>
      <c r="D206" t="s">
        <v>100</v>
      </c>
      <c r="E206" t="s">
        <v>21</v>
      </c>
      <c r="F206" t="s">
        <v>31</v>
      </c>
      <c r="G206" t="s">
        <v>93</v>
      </c>
      <c r="H206" t="s">
        <v>59</v>
      </c>
      <c r="I206" t="s">
        <v>42</v>
      </c>
      <c r="J206" t="s">
        <v>89</v>
      </c>
      <c r="K206" t="s">
        <v>27</v>
      </c>
      <c r="L206">
        <v>130.44999999999999</v>
      </c>
      <c r="M206">
        <v>8</v>
      </c>
      <c r="N206" s="2">
        <v>0.1</v>
      </c>
      <c r="O206">
        <v>1043.5999999999999</v>
      </c>
      <c r="P206">
        <v>104.36</v>
      </c>
      <c r="Q206">
        <f>Sheet1__3_1_1_1[[#This Row],[Gross_Revenue]]-Sheet1__3_1_1_1[[#This Row],[Discount_Amount]]</f>
        <v>939.2399999999999</v>
      </c>
      <c r="R206">
        <v>450.84</v>
      </c>
      <c r="S206">
        <f>Sheet1__3_1_1_1[[#This Row],[Net_Revenue]]-Sheet1__3_1_1_1[[#This Row],[COGS]]</f>
        <v>488.39999999999992</v>
      </c>
    </row>
    <row r="207" spans="1:19" x14ac:dyDescent="0.25">
      <c r="A207" t="s">
        <v>302</v>
      </c>
      <c r="B207" s="1">
        <v>45115</v>
      </c>
      <c r="C207" t="s">
        <v>99</v>
      </c>
      <c r="D207" t="s">
        <v>132</v>
      </c>
      <c r="E207" t="s">
        <v>63</v>
      </c>
      <c r="F207" t="s">
        <v>31</v>
      </c>
      <c r="G207" t="s">
        <v>32</v>
      </c>
      <c r="H207" t="s">
        <v>52</v>
      </c>
      <c r="I207" t="s">
        <v>34</v>
      </c>
      <c r="J207" t="s">
        <v>49</v>
      </c>
      <c r="K207" t="s">
        <v>53</v>
      </c>
      <c r="L207">
        <v>347.36</v>
      </c>
      <c r="M207">
        <v>6</v>
      </c>
      <c r="N207" s="2">
        <v>0.05</v>
      </c>
      <c r="O207">
        <v>2084.16</v>
      </c>
      <c r="P207">
        <v>104.208</v>
      </c>
      <c r="Q207">
        <f>Sheet1__3_1_1_1[[#This Row],[Gross_Revenue]]-Sheet1__3_1_1_1[[#This Row],[Discount_Amount]]</f>
        <v>1979.9519999999998</v>
      </c>
      <c r="R207">
        <v>950.38</v>
      </c>
      <c r="S207">
        <f>Sheet1__3_1_1_1[[#This Row],[Net_Revenue]]-Sheet1__3_1_1_1[[#This Row],[COGS]]</f>
        <v>1029.5719999999997</v>
      </c>
    </row>
    <row r="208" spans="1:19" x14ac:dyDescent="0.25">
      <c r="A208" t="s">
        <v>303</v>
      </c>
      <c r="B208" s="1">
        <v>44928</v>
      </c>
      <c r="C208" t="s">
        <v>99</v>
      </c>
      <c r="D208" t="s">
        <v>100</v>
      </c>
      <c r="E208" t="s">
        <v>66</v>
      </c>
      <c r="F208" t="s">
        <v>31</v>
      </c>
      <c r="G208" t="s">
        <v>40</v>
      </c>
      <c r="H208" t="s">
        <v>41</v>
      </c>
      <c r="I208" t="s">
        <v>48</v>
      </c>
      <c r="J208" t="s">
        <v>94</v>
      </c>
      <c r="K208" t="s">
        <v>27</v>
      </c>
      <c r="L208">
        <v>268.47000000000003</v>
      </c>
      <c r="M208">
        <v>4</v>
      </c>
      <c r="N208" s="2">
        <v>0.2</v>
      </c>
      <c r="O208">
        <v>1073.8800000000001</v>
      </c>
      <c r="P208">
        <v>214.77600000000004</v>
      </c>
      <c r="Q208">
        <f>Sheet1__3_1_1_1[[#This Row],[Gross_Revenue]]-Sheet1__3_1_1_1[[#This Row],[Discount_Amount]]</f>
        <v>859.10400000000004</v>
      </c>
      <c r="R208">
        <v>412.37</v>
      </c>
      <c r="S208">
        <f>Sheet1__3_1_1_1[[#This Row],[Net_Revenue]]-Sheet1__3_1_1_1[[#This Row],[COGS]]</f>
        <v>446.73400000000004</v>
      </c>
    </row>
    <row r="209" spans="1:19" x14ac:dyDescent="0.25">
      <c r="A209" t="s">
        <v>304</v>
      </c>
      <c r="B209" s="1">
        <v>44807</v>
      </c>
      <c r="C209" t="s">
        <v>29</v>
      </c>
      <c r="D209" t="s">
        <v>38</v>
      </c>
      <c r="E209" t="s">
        <v>66</v>
      </c>
      <c r="F209" t="s">
        <v>22</v>
      </c>
      <c r="G209" t="s">
        <v>149</v>
      </c>
      <c r="H209" t="s">
        <v>24</v>
      </c>
      <c r="I209" t="s">
        <v>25</v>
      </c>
      <c r="J209" t="s">
        <v>49</v>
      </c>
      <c r="K209" t="s">
        <v>27</v>
      </c>
      <c r="L209">
        <v>19.829999999999998</v>
      </c>
      <c r="M209">
        <v>16</v>
      </c>
      <c r="N209" s="2">
        <v>0.1</v>
      </c>
      <c r="O209">
        <v>317.27999999999997</v>
      </c>
      <c r="P209">
        <v>31.727999999999998</v>
      </c>
      <c r="Q209">
        <f>Sheet1__3_1_1_1[[#This Row],[Gross_Revenue]]-Sheet1__3_1_1_1[[#This Row],[Discount_Amount]]</f>
        <v>285.55199999999996</v>
      </c>
      <c r="R209">
        <v>157.05000000000001</v>
      </c>
      <c r="S209">
        <f>Sheet1__3_1_1_1[[#This Row],[Net_Revenue]]-Sheet1__3_1_1_1[[#This Row],[COGS]]</f>
        <v>128.50199999999995</v>
      </c>
    </row>
    <row r="210" spans="1:19" x14ac:dyDescent="0.25">
      <c r="A210" t="s">
        <v>305</v>
      </c>
      <c r="B210" s="1">
        <v>44909</v>
      </c>
      <c r="C210" t="s">
        <v>99</v>
      </c>
      <c r="D210" t="s">
        <v>100</v>
      </c>
      <c r="E210" t="s">
        <v>63</v>
      </c>
      <c r="F210" t="s">
        <v>69</v>
      </c>
      <c r="G210" t="s">
        <v>190</v>
      </c>
      <c r="H210" t="s">
        <v>106</v>
      </c>
      <c r="I210" t="s">
        <v>60</v>
      </c>
      <c r="J210" t="s">
        <v>94</v>
      </c>
      <c r="K210" t="s">
        <v>143</v>
      </c>
      <c r="L210">
        <v>21.35</v>
      </c>
      <c r="M210">
        <v>18</v>
      </c>
      <c r="N210" s="2">
        <v>0</v>
      </c>
      <c r="O210">
        <v>384.3</v>
      </c>
      <c r="P210">
        <v>0</v>
      </c>
      <c r="Q210">
        <f>Sheet1__3_1_1_1[[#This Row],[Gross_Revenue]]-Sheet1__3_1_1_1[[#This Row],[Discount_Amount]]</f>
        <v>384.3</v>
      </c>
      <c r="R210">
        <v>146.03</v>
      </c>
      <c r="S210">
        <f>Sheet1__3_1_1_1[[#This Row],[Net_Revenue]]-Sheet1__3_1_1_1[[#This Row],[COGS]]</f>
        <v>238.27</v>
      </c>
    </row>
    <row r="211" spans="1:19" x14ac:dyDescent="0.25">
      <c r="A211" t="s">
        <v>306</v>
      </c>
      <c r="B211" s="1">
        <v>44597</v>
      </c>
      <c r="C211" t="s">
        <v>29</v>
      </c>
      <c r="D211" t="s">
        <v>30</v>
      </c>
      <c r="E211" t="s">
        <v>63</v>
      </c>
      <c r="F211" t="s">
        <v>31</v>
      </c>
      <c r="G211" t="s">
        <v>93</v>
      </c>
      <c r="H211" t="s">
        <v>108</v>
      </c>
      <c r="I211" t="s">
        <v>60</v>
      </c>
      <c r="J211" t="s">
        <v>49</v>
      </c>
      <c r="K211" t="s">
        <v>143</v>
      </c>
      <c r="L211" t="s">
        <v>1147</v>
      </c>
      <c r="M211">
        <v>8</v>
      </c>
      <c r="N211" s="2">
        <v>0</v>
      </c>
      <c r="O211">
        <v>0</v>
      </c>
      <c r="P211">
        <v>0</v>
      </c>
      <c r="Q211">
        <f>Sheet1__3_1_1_1[[#This Row],[Gross_Revenue]]-Sheet1__3_1_1_1[[#This Row],[Discount_Amount]]</f>
        <v>0</v>
      </c>
      <c r="R211" t="s">
        <v>1147</v>
      </c>
      <c r="S211" t="e">
        <f>Sheet1__3_1_1_1[[#This Row],[Net_Revenue]]-Sheet1__3_1_1_1[[#This Row],[COGS]]</f>
        <v>#VALUE!</v>
      </c>
    </row>
    <row r="212" spans="1:19" x14ac:dyDescent="0.25">
      <c r="A212" t="s">
        <v>307</v>
      </c>
      <c r="B212" s="1">
        <v>44754</v>
      </c>
      <c r="C212" t="s">
        <v>44</v>
      </c>
      <c r="D212" t="s">
        <v>45</v>
      </c>
      <c r="E212" t="s">
        <v>39</v>
      </c>
      <c r="F212" t="s">
        <v>55</v>
      </c>
      <c r="G212" t="s">
        <v>67</v>
      </c>
      <c r="H212" t="s">
        <v>108</v>
      </c>
      <c r="I212" t="s">
        <v>48</v>
      </c>
      <c r="J212" t="s">
        <v>26</v>
      </c>
      <c r="K212" t="s">
        <v>27</v>
      </c>
      <c r="L212">
        <v>62.8</v>
      </c>
      <c r="M212">
        <v>5</v>
      </c>
      <c r="N212" s="2">
        <v>0.15</v>
      </c>
      <c r="O212">
        <v>314</v>
      </c>
      <c r="P212">
        <v>47.1</v>
      </c>
      <c r="Q212">
        <f>Sheet1__3_1_1_1[[#This Row],[Gross_Revenue]]-Sheet1__3_1_1_1[[#This Row],[Discount_Amount]]</f>
        <v>266.89999999999998</v>
      </c>
      <c r="R212">
        <v>112.1</v>
      </c>
      <c r="S212">
        <f>Sheet1__3_1_1_1[[#This Row],[Net_Revenue]]-Sheet1__3_1_1_1[[#This Row],[COGS]]</f>
        <v>154.79999999999998</v>
      </c>
    </row>
    <row r="213" spans="1:19" x14ac:dyDescent="0.25">
      <c r="A213" t="s">
        <v>308</v>
      </c>
      <c r="B213" s="1">
        <v>44973</v>
      </c>
      <c r="C213" t="s">
        <v>29</v>
      </c>
      <c r="D213" t="s">
        <v>62</v>
      </c>
      <c r="E213" t="s">
        <v>21</v>
      </c>
      <c r="F213" t="s">
        <v>22</v>
      </c>
      <c r="G213" t="s">
        <v>23</v>
      </c>
      <c r="H213" t="s">
        <v>59</v>
      </c>
      <c r="I213" t="s">
        <v>25</v>
      </c>
      <c r="J213" t="s">
        <v>35</v>
      </c>
      <c r="K213" t="s">
        <v>143</v>
      </c>
      <c r="L213">
        <v>17.309999999999999</v>
      </c>
      <c r="M213">
        <v>1</v>
      </c>
      <c r="N213" s="2">
        <v>0.15</v>
      </c>
      <c r="O213">
        <v>17.309999999999999</v>
      </c>
      <c r="P213">
        <v>2.5964999999999998</v>
      </c>
      <c r="Q213">
        <f>Sheet1__3_1_1_1[[#This Row],[Gross_Revenue]]-Sheet1__3_1_1_1[[#This Row],[Discount_Amount]]</f>
        <v>14.7135</v>
      </c>
      <c r="R213">
        <v>8.09</v>
      </c>
      <c r="S213">
        <f>Sheet1__3_1_1_1[[#This Row],[Net_Revenue]]-Sheet1__3_1_1_1[[#This Row],[COGS]]</f>
        <v>6.6234999999999999</v>
      </c>
    </row>
    <row r="214" spans="1:19" x14ac:dyDescent="0.25">
      <c r="A214" t="s">
        <v>309</v>
      </c>
      <c r="B214" s="1">
        <v>45113</v>
      </c>
      <c r="C214" t="s">
        <v>99</v>
      </c>
      <c r="D214" t="s">
        <v>148</v>
      </c>
      <c r="E214" t="s">
        <v>39</v>
      </c>
      <c r="F214" t="s">
        <v>79</v>
      </c>
      <c r="G214" t="s">
        <v>85</v>
      </c>
      <c r="H214" t="s">
        <v>111</v>
      </c>
      <c r="I214" t="s">
        <v>48</v>
      </c>
      <c r="J214" t="s">
        <v>49</v>
      </c>
      <c r="K214" t="s">
        <v>27</v>
      </c>
      <c r="L214">
        <v>984.03</v>
      </c>
      <c r="M214">
        <v>4</v>
      </c>
      <c r="N214" s="2">
        <v>0</v>
      </c>
      <c r="O214">
        <v>3936.12</v>
      </c>
      <c r="P214">
        <v>0</v>
      </c>
      <c r="Q214">
        <f>Sheet1__3_1_1_1[[#This Row],[Gross_Revenue]]-Sheet1__3_1_1_1[[#This Row],[Discount_Amount]]</f>
        <v>3936.12</v>
      </c>
      <c r="R214">
        <v>2440.39</v>
      </c>
      <c r="S214">
        <f>Sheet1__3_1_1_1[[#This Row],[Net_Revenue]]-Sheet1__3_1_1_1[[#This Row],[COGS]]</f>
        <v>1495.73</v>
      </c>
    </row>
    <row r="215" spans="1:19" x14ac:dyDescent="0.25">
      <c r="A215" t="s">
        <v>310</v>
      </c>
      <c r="B215" s="1">
        <v>45036</v>
      </c>
      <c r="C215" t="s">
        <v>44</v>
      </c>
      <c r="D215" t="s">
        <v>45</v>
      </c>
      <c r="E215" t="s">
        <v>63</v>
      </c>
      <c r="F215" t="s">
        <v>69</v>
      </c>
      <c r="G215" t="s">
        <v>190</v>
      </c>
      <c r="H215" t="s">
        <v>59</v>
      </c>
      <c r="I215" t="s">
        <v>25</v>
      </c>
      <c r="J215" t="s">
        <v>35</v>
      </c>
      <c r="K215" t="s">
        <v>53</v>
      </c>
      <c r="L215">
        <v>19.21</v>
      </c>
      <c r="M215">
        <v>15</v>
      </c>
      <c r="N215" s="2">
        <v>0</v>
      </c>
      <c r="O215">
        <v>288.15000000000003</v>
      </c>
      <c r="P215">
        <v>0</v>
      </c>
      <c r="Q215">
        <f>Sheet1__3_1_1_1[[#This Row],[Gross_Revenue]]-Sheet1__3_1_1_1[[#This Row],[Discount_Amount]]</f>
        <v>288.15000000000003</v>
      </c>
      <c r="R215">
        <v>109.5</v>
      </c>
      <c r="S215">
        <f>Sheet1__3_1_1_1[[#This Row],[Net_Revenue]]-Sheet1__3_1_1_1[[#This Row],[COGS]]</f>
        <v>178.65000000000003</v>
      </c>
    </row>
    <row r="216" spans="1:19" x14ac:dyDescent="0.25">
      <c r="A216" t="s">
        <v>311</v>
      </c>
      <c r="B216" s="1">
        <v>44811</v>
      </c>
      <c r="C216" t="s">
        <v>29</v>
      </c>
      <c r="D216" t="s">
        <v>30</v>
      </c>
      <c r="E216" t="s">
        <v>63</v>
      </c>
      <c r="F216" t="s">
        <v>79</v>
      </c>
      <c r="G216" t="s">
        <v>56</v>
      </c>
      <c r="H216" t="s">
        <v>33</v>
      </c>
      <c r="I216" t="s">
        <v>42</v>
      </c>
      <c r="J216" t="s">
        <v>26</v>
      </c>
      <c r="K216" t="s">
        <v>53</v>
      </c>
      <c r="L216">
        <v>47.09</v>
      </c>
      <c r="M216">
        <v>8</v>
      </c>
      <c r="N216" s="2">
        <v>0.05</v>
      </c>
      <c r="O216">
        <v>376.72</v>
      </c>
      <c r="P216">
        <v>18.836000000000002</v>
      </c>
      <c r="Q216">
        <f>Sheet1__3_1_1_1[[#This Row],[Gross_Revenue]]-Sheet1__3_1_1_1[[#This Row],[Discount_Amount]]</f>
        <v>357.88400000000001</v>
      </c>
      <c r="R216">
        <v>221.89</v>
      </c>
      <c r="S216">
        <f>Sheet1__3_1_1_1[[#This Row],[Net_Revenue]]-Sheet1__3_1_1_1[[#This Row],[COGS]]</f>
        <v>135.99400000000003</v>
      </c>
    </row>
    <row r="217" spans="1:19" x14ac:dyDescent="0.25">
      <c r="A217" t="s">
        <v>312</v>
      </c>
      <c r="B217" s="1">
        <v>45237</v>
      </c>
      <c r="C217" t="s">
        <v>99</v>
      </c>
      <c r="D217" t="s">
        <v>100</v>
      </c>
      <c r="E217" t="s">
        <v>21</v>
      </c>
      <c r="F217" t="s">
        <v>22</v>
      </c>
      <c r="G217" t="s">
        <v>149</v>
      </c>
      <c r="H217" t="s">
        <v>52</v>
      </c>
      <c r="I217" t="s">
        <v>25</v>
      </c>
      <c r="J217" t="s">
        <v>89</v>
      </c>
      <c r="K217" t="s">
        <v>53</v>
      </c>
      <c r="L217">
        <v>26.4</v>
      </c>
      <c r="M217">
        <v>23</v>
      </c>
      <c r="N217" s="2">
        <v>0.1</v>
      </c>
      <c r="O217">
        <v>607.19999999999993</v>
      </c>
      <c r="P217">
        <v>60.72</v>
      </c>
      <c r="Q217">
        <f>Sheet1__3_1_1_1[[#This Row],[Gross_Revenue]]-Sheet1__3_1_1_1[[#This Row],[Discount_Amount]]</f>
        <v>546.4799999999999</v>
      </c>
      <c r="R217">
        <v>300.56</v>
      </c>
      <c r="S217">
        <f>Sheet1__3_1_1_1[[#This Row],[Net_Revenue]]-Sheet1__3_1_1_1[[#This Row],[COGS]]</f>
        <v>245.9199999999999</v>
      </c>
    </row>
    <row r="218" spans="1:19" x14ac:dyDescent="0.25">
      <c r="A218" t="s">
        <v>313</v>
      </c>
      <c r="B218" s="1">
        <v>45105</v>
      </c>
      <c r="C218" t="s">
        <v>19</v>
      </c>
      <c r="D218" t="s">
        <v>20</v>
      </c>
      <c r="E218" t="s">
        <v>39</v>
      </c>
      <c r="F218" t="s">
        <v>31</v>
      </c>
      <c r="G218" t="s">
        <v>93</v>
      </c>
      <c r="H218" t="s">
        <v>108</v>
      </c>
      <c r="I218" t="s">
        <v>48</v>
      </c>
      <c r="J218" t="s">
        <v>94</v>
      </c>
      <c r="K218" t="s">
        <v>27</v>
      </c>
      <c r="L218">
        <v>155.97</v>
      </c>
      <c r="M218">
        <v>1</v>
      </c>
      <c r="N218" s="2">
        <v>0.15</v>
      </c>
      <c r="O218">
        <v>155.97</v>
      </c>
      <c r="P218">
        <v>23.395499999999998</v>
      </c>
      <c r="Q218">
        <f>Sheet1__3_1_1_1[[#This Row],[Gross_Revenue]]-Sheet1__3_1_1_1[[#This Row],[Discount_Amount]]</f>
        <v>132.5745</v>
      </c>
      <c r="R218">
        <v>63.63</v>
      </c>
      <c r="S218">
        <f>Sheet1__3_1_1_1[[#This Row],[Net_Revenue]]-Sheet1__3_1_1_1[[#This Row],[COGS]]</f>
        <v>68.944500000000005</v>
      </c>
    </row>
    <row r="219" spans="1:19" x14ac:dyDescent="0.25">
      <c r="A219" t="s">
        <v>314</v>
      </c>
      <c r="B219" s="1">
        <v>45046</v>
      </c>
      <c r="C219" t="s">
        <v>77</v>
      </c>
      <c r="D219" t="s">
        <v>82</v>
      </c>
      <c r="E219" t="s">
        <v>39</v>
      </c>
      <c r="F219" t="s">
        <v>79</v>
      </c>
      <c r="G219" t="s">
        <v>85</v>
      </c>
      <c r="H219" t="s">
        <v>52</v>
      </c>
      <c r="I219" t="s">
        <v>25</v>
      </c>
      <c r="J219" t="s">
        <v>26</v>
      </c>
      <c r="K219" t="s">
        <v>53</v>
      </c>
      <c r="L219">
        <v>881.29</v>
      </c>
      <c r="M219">
        <v>1</v>
      </c>
      <c r="N219" s="2">
        <v>0.15</v>
      </c>
      <c r="O219">
        <v>881.29</v>
      </c>
      <c r="P219">
        <v>132.1935</v>
      </c>
      <c r="Q219">
        <f>Sheet1__3_1_1_1[[#This Row],[Gross_Revenue]]-Sheet1__3_1_1_1[[#This Row],[Discount_Amount]]</f>
        <v>749.09649999999999</v>
      </c>
      <c r="R219">
        <v>464.44</v>
      </c>
      <c r="S219">
        <f>Sheet1__3_1_1_1[[#This Row],[Net_Revenue]]-Sheet1__3_1_1_1[[#This Row],[COGS]]</f>
        <v>284.65649999999999</v>
      </c>
    </row>
    <row r="220" spans="1:19" x14ac:dyDescent="0.25">
      <c r="A220" t="s">
        <v>315</v>
      </c>
      <c r="B220" s="1">
        <v>45131</v>
      </c>
      <c r="C220" t="s">
        <v>29</v>
      </c>
      <c r="D220" t="s">
        <v>62</v>
      </c>
      <c r="E220" t="s">
        <v>66</v>
      </c>
      <c r="F220" t="s">
        <v>31</v>
      </c>
      <c r="G220" t="s">
        <v>40</v>
      </c>
      <c r="H220" t="s">
        <v>59</v>
      </c>
      <c r="I220" t="s">
        <v>25</v>
      </c>
      <c r="J220" t="s">
        <v>94</v>
      </c>
      <c r="K220" t="s">
        <v>27</v>
      </c>
      <c r="L220">
        <v>247.77</v>
      </c>
      <c r="M220">
        <v>8</v>
      </c>
      <c r="N220" s="2">
        <v>0.05</v>
      </c>
      <c r="O220">
        <v>1982.16</v>
      </c>
      <c r="P220">
        <v>99.108000000000004</v>
      </c>
      <c r="Q220">
        <f>Sheet1__3_1_1_1[[#This Row],[Gross_Revenue]]-Sheet1__3_1_1_1[[#This Row],[Discount_Amount]]</f>
        <v>1883.0520000000001</v>
      </c>
      <c r="R220">
        <v>903.86</v>
      </c>
      <c r="S220">
        <f>Sheet1__3_1_1_1[[#This Row],[Net_Revenue]]-Sheet1__3_1_1_1[[#This Row],[COGS]]</f>
        <v>979.19200000000012</v>
      </c>
    </row>
    <row r="221" spans="1:19" x14ac:dyDescent="0.25">
      <c r="A221" t="s">
        <v>316</v>
      </c>
      <c r="B221" s="1">
        <v>45017</v>
      </c>
      <c r="C221" t="s">
        <v>99</v>
      </c>
      <c r="D221" t="s">
        <v>100</v>
      </c>
      <c r="E221" t="s">
        <v>39</v>
      </c>
      <c r="F221" t="s">
        <v>22</v>
      </c>
      <c r="G221" t="s">
        <v>23</v>
      </c>
      <c r="H221" t="s">
        <v>33</v>
      </c>
      <c r="I221" t="s">
        <v>48</v>
      </c>
      <c r="J221" t="s">
        <v>94</v>
      </c>
      <c r="K221" t="s">
        <v>143</v>
      </c>
      <c r="L221">
        <v>15.89</v>
      </c>
      <c r="M221">
        <v>21</v>
      </c>
      <c r="N221" s="2">
        <v>0.1</v>
      </c>
      <c r="O221">
        <v>333.69</v>
      </c>
      <c r="P221">
        <v>33.369</v>
      </c>
      <c r="Q221">
        <f>Sheet1__3_1_1_1[[#This Row],[Gross_Revenue]]-Sheet1__3_1_1_1[[#This Row],[Discount_Amount]]</f>
        <v>300.32100000000003</v>
      </c>
      <c r="R221">
        <v>165.18</v>
      </c>
      <c r="S221">
        <f>Sheet1__3_1_1_1[[#This Row],[Net_Revenue]]-Sheet1__3_1_1_1[[#This Row],[COGS]]</f>
        <v>135.14100000000002</v>
      </c>
    </row>
    <row r="222" spans="1:19" x14ac:dyDescent="0.25">
      <c r="A222" t="s">
        <v>317</v>
      </c>
      <c r="B222" s="1">
        <v>45141</v>
      </c>
      <c r="C222" t="s">
        <v>29</v>
      </c>
      <c r="D222" t="s">
        <v>62</v>
      </c>
      <c r="E222" t="s">
        <v>63</v>
      </c>
      <c r="F222" t="s">
        <v>79</v>
      </c>
      <c r="G222" t="s">
        <v>80</v>
      </c>
      <c r="H222" t="s">
        <v>59</v>
      </c>
      <c r="I222" t="s">
        <v>48</v>
      </c>
      <c r="J222" t="s">
        <v>94</v>
      </c>
      <c r="K222" t="s">
        <v>36</v>
      </c>
      <c r="L222">
        <v>731.8</v>
      </c>
      <c r="M222">
        <v>5</v>
      </c>
      <c r="N222" s="2">
        <v>0.1</v>
      </c>
      <c r="O222">
        <v>3659</v>
      </c>
      <c r="P222">
        <v>365.90000000000003</v>
      </c>
      <c r="Q222">
        <f>Sheet1__3_1_1_1[[#This Row],[Gross_Revenue]]-Sheet1__3_1_1_1[[#This Row],[Discount_Amount]]</f>
        <v>3293.1</v>
      </c>
      <c r="R222">
        <v>2041.72</v>
      </c>
      <c r="S222">
        <f>Sheet1__3_1_1_1[[#This Row],[Net_Revenue]]-Sheet1__3_1_1_1[[#This Row],[COGS]]</f>
        <v>1251.3799999999999</v>
      </c>
    </row>
    <row r="223" spans="1:19" x14ac:dyDescent="0.25">
      <c r="A223" t="s">
        <v>318</v>
      </c>
      <c r="B223" s="1">
        <v>44610</v>
      </c>
      <c r="C223" t="s">
        <v>19</v>
      </c>
      <c r="D223" t="s">
        <v>130</v>
      </c>
      <c r="E223" t="s">
        <v>66</v>
      </c>
      <c r="F223" t="s">
        <v>31</v>
      </c>
      <c r="G223" t="s">
        <v>93</v>
      </c>
      <c r="H223" t="s">
        <v>47</v>
      </c>
      <c r="I223" t="s">
        <v>34</v>
      </c>
      <c r="J223" t="s">
        <v>94</v>
      </c>
      <c r="K223" t="s">
        <v>143</v>
      </c>
      <c r="L223">
        <v>147.49</v>
      </c>
      <c r="M223">
        <v>1</v>
      </c>
      <c r="N223" s="2">
        <v>0</v>
      </c>
      <c r="O223">
        <v>147.49</v>
      </c>
      <c r="P223">
        <v>0</v>
      </c>
      <c r="Q223">
        <f>Sheet1__3_1_1_1[[#This Row],[Gross_Revenue]]-Sheet1__3_1_1_1[[#This Row],[Discount_Amount]]</f>
        <v>147.49</v>
      </c>
      <c r="R223">
        <v>70.8</v>
      </c>
      <c r="S223">
        <f>Sheet1__3_1_1_1[[#This Row],[Net_Revenue]]-Sheet1__3_1_1_1[[#This Row],[COGS]]</f>
        <v>76.690000000000012</v>
      </c>
    </row>
    <row r="224" spans="1:19" x14ac:dyDescent="0.25">
      <c r="A224" t="s">
        <v>319</v>
      </c>
      <c r="B224" s="1">
        <v>45253</v>
      </c>
      <c r="C224" t="s">
        <v>99</v>
      </c>
      <c r="D224" t="s">
        <v>100</v>
      </c>
      <c r="E224" t="s">
        <v>21</v>
      </c>
      <c r="F224" t="s">
        <v>55</v>
      </c>
      <c r="G224" t="s">
        <v>67</v>
      </c>
      <c r="H224" t="s">
        <v>52</v>
      </c>
      <c r="I224" t="s">
        <v>34</v>
      </c>
      <c r="J224" t="s">
        <v>26</v>
      </c>
      <c r="K224" t="s">
        <v>27</v>
      </c>
      <c r="L224">
        <v>62.11</v>
      </c>
      <c r="M224">
        <v>4</v>
      </c>
      <c r="N224" s="2">
        <v>0.15</v>
      </c>
      <c r="O224">
        <v>248.44</v>
      </c>
      <c r="P224">
        <v>37.265999999999998</v>
      </c>
      <c r="Q224">
        <f>Sheet1__3_1_1_1[[#This Row],[Gross_Revenue]]-Sheet1__3_1_1_1[[#This Row],[Discount_Amount]]</f>
        <v>211.17400000000001</v>
      </c>
      <c r="R224">
        <v>88.69</v>
      </c>
      <c r="S224">
        <f>Sheet1__3_1_1_1[[#This Row],[Net_Revenue]]-Sheet1__3_1_1_1[[#This Row],[COGS]]</f>
        <v>122.48400000000001</v>
      </c>
    </row>
    <row r="225" spans="1:19" x14ac:dyDescent="0.25">
      <c r="A225" t="s">
        <v>320</v>
      </c>
      <c r="B225" s="1">
        <v>44722</v>
      </c>
      <c r="C225" t="s">
        <v>29</v>
      </c>
      <c r="D225" t="s">
        <v>38</v>
      </c>
      <c r="E225" t="s">
        <v>21</v>
      </c>
      <c r="F225" t="s">
        <v>69</v>
      </c>
      <c r="G225" t="s">
        <v>126</v>
      </c>
      <c r="H225" t="s">
        <v>59</v>
      </c>
      <c r="I225" t="s">
        <v>25</v>
      </c>
      <c r="J225" t="s">
        <v>89</v>
      </c>
      <c r="K225" t="s">
        <v>143</v>
      </c>
      <c r="L225">
        <v>27.86</v>
      </c>
      <c r="M225">
        <v>10</v>
      </c>
      <c r="N225" s="2">
        <v>0</v>
      </c>
      <c r="O225">
        <v>278.60000000000002</v>
      </c>
      <c r="P225">
        <v>0</v>
      </c>
      <c r="Q225">
        <f>Sheet1__3_1_1_1[[#This Row],[Gross_Revenue]]-Sheet1__3_1_1_1[[#This Row],[Discount_Amount]]</f>
        <v>278.60000000000002</v>
      </c>
      <c r="R225">
        <v>105.87</v>
      </c>
      <c r="S225">
        <f>Sheet1__3_1_1_1[[#This Row],[Net_Revenue]]-Sheet1__3_1_1_1[[#This Row],[COGS]]</f>
        <v>172.73000000000002</v>
      </c>
    </row>
    <row r="226" spans="1:19" x14ac:dyDescent="0.25">
      <c r="A226" t="s">
        <v>321</v>
      </c>
      <c r="B226" s="1">
        <v>45170</v>
      </c>
      <c r="C226" t="s">
        <v>29</v>
      </c>
      <c r="D226" t="s">
        <v>30</v>
      </c>
      <c r="E226" t="s">
        <v>21</v>
      </c>
      <c r="F226" t="s">
        <v>55</v>
      </c>
      <c r="G226" t="s">
        <v>83</v>
      </c>
      <c r="H226" t="s">
        <v>24</v>
      </c>
      <c r="I226" t="s">
        <v>48</v>
      </c>
      <c r="J226" t="s">
        <v>26</v>
      </c>
      <c r="K226" t="s">
        <v>36</v>
      </c>
      <c r="L226">
        <v>60.8</v>
      </c>
      <c r="M226">
        <v>4</v>
      </c>
      <c r="N226" s="2">
        <v>0</v>
      </c>
      <c r="O226">
        <v>243.2</v>
      </c>
      <c r="P226">
        <v>0</v>
      </c>
      <c r="Q226">
        <f>Sheet1__3_1_1_1[[#This Row],[Gross_Revenue]]-Sheet1__3_1_1_1[[#This Row],[Discount_Amount]]</f>
        <v>243.2</v>
      </c>
      <c r="R226">
        <v>102.14</v>
      </c>
      <c r="S226">
        <f>Sheet1__3_1_1_1[[#This Row],[Net_Revenue]]-Sheet1__3_1_1_1[[#This Row],[COGS]]</f>
        <v>141.06</v>
      </c>
    </row>
    <row r="227" spans="1:19" x14ac:dyDescent="0.25">
      <c r="A227" t="s">
        <v>322</v>
      </c>
      <c r="B227" s="1">
        <v>45137</v>
      </c>
      <c r="C227" t="s">
        <v>29</v>
      </c>
      <c r="D227" t="s">
        <v>62</v>
      </c>
      <c r="E227" t="s">
        <v>63</v>
      </c>
      <c r="F227" t="s">
        <v>79</v>
      </c>
      <c r="G227" t="s">
        <v>85</v>
      </c>
      <c r="H227" t="s">
        <v>33</v>
      </c>
      <c r="I227" t="s">
        <v>60</v>
      </c>
      <c r="J227" t="s">
        <v>35</v>
      </c>
      <c r="K227" t="s">
        <v>53</v>
      </c>
      <c r="L227">
        <v>792.19</v>
      </c>
      <c r="M227">
        <v>7</v>
      </c>
      <c r="N227" s="2">
        <v>0.1</v>
      </c>
      <c r="O227">
        <v>5545.33</v>
      </c>
      <c r="P227">
        <v>554.53300000000002</v>
      </c>
      <c r="Q227">
        <f>Sheet1__3_1_1_1[[#This Row],[Gross_Revenue]]-Sheet1__3_1_1_1[[#This Row],[Discount_Amount]]</f>
        <v>4990.7969999999996</v>
      </c>
      <c r="R227">
        <v>3094.3</v>
      </c>
      <c r="S227">
        <f>Sheet1__3_1_1_1[[#This Row],[Net_Revenue]]-Sheet1__3_1_1_1[[#This Row],[COGS]]</f>
        <v>1896.4969999999994</v>
      </c>
    </row>
    <row r="228" spans="1:19" x14ac:dyDescent="0.25">
      <c r="A228" t="s">
        <v>323</v>
      </c>
      <c r="B228" s="1">
        <v>45149</v>
      </c>
      <c r="C228" t="s">
        <v>77</v>
      </c>
      <c r="D228" t="s">
        <v>82</v>
      </c>
      <c r="E228" t="s">
        <v>66</v>
      </c>
      <c r="F228" t="s">
        <v>79</v>
      </c>
      <c r="G228" t="s">
        <v>172</v>
      </c>
      <c r="H228" t="s">
        <v>24</v>
      </c>
      <c r="I228" t="s">
        <v>34</v>
      </c>
      <c r="J228" t="s">
        <v>26</v>
      </c>
      <c r="K228" t="s">
        <v>143</v>
      </c>
      <c r="L228">
        <v>361.45</v>
      </c>
      <c r="M228">
        <v>5</v>
      </c>
      <c r="N228" s="2">
        <v>0</v>
      </c>
      <c r="O228">
        <v>1807.25</v>
      </c>
      <c r="P228">
        <v>0</v>
      </c>
      <c r="Q228">
        <f>Sheet1__3_1_1_1[[#This Row],[Gross_Revenue]]-Sheet1__3_1_1_1[[#This Row],[Discount_Amount]]</f>
        <v>1807.25</v>
      </c>
      <c r="R228">
        <v>1120.49</v>
      </c>
      <c r="S228">
        <f>Sheet1__3_1_1_1[[#This Row],[Net_Revenue]]-Sheet1__3_1_1_1[[#This Row],[COGS]]</f>
        <v>686.76</v>
      </c>
    </row>
    <row r="229" spans="1:19" x14ac:dyDescent="0.25">
      <c r="A229" t="s">
        <v>324</v>
      </c>
      <c r="B229" s="1">
        <v>44987</v>
      </c>
      <c r="C229" t="s">
        <v>29</v>
      </c>
      <c r="D229" t="s">
        <v>30</v>
      </c>
      <c r="E229" t="s">
        <v>63</v>
      </c>
      <c r="F229" t="s">
        <v>55</v>
      </c>
      <c r="G229" t="s">
        <v>83</v>
      </c>
      <c r="H229" t="s">
        <v>57</v>
      </c>
      <c r="I229" t="s">
        <v>34</v>
      </c>
      <c r="J229" t="s">
        <v>89</v>
      </c>
      <c r="K229" t="s">
        <v>27</v>
      </c>
      <c r="L229">
        <v>59.79</v>
      </c>
      <c r="M229">
        <v>8</v>
      </c>
      <c r="N229" s="2">
        <v>0.05</v>
      </c>
      <c r="O229">
        <v>478.32</v>
      </c>
      <c r="P229">
        <v>23.916</v>
      </c>
      <c r="Q229">
        <f>Sheet1__3_1_1_1[[#This Row],[Gross_Revenue]]-Sheet1__3_1_1_1[[#This Row],[Discount_Amount]]</f>
        <v>454.404</v>
      </c>
      <c r="R229">
        <v>190.85</v>
      </c>
      <c r="S229">
        <f>Sheet1__3_1_1_1[[#This Row],[Net_Revenue]]-Sheet1__3_1_1_1[[#This Row],[COGS]]</f>
        <v>263.55399999999997</v>
      </c>
    </row>
    <row r="230" spans="1:19" x14ac:dyDescent="0.25">
      <c r="A230" t="s">
        <v>325</v>
      </c>
      <c r="B230" s="1">
        <v>45162</v>
      </c>
      <c r="C230" t="s">
        <v>77</v>
      </c>
      <c r="D230" t="s">
        <v>82</v>
      </c>
      <c r="E230" t="s">
        <v>21</v>
      </c>
      <c r="F230" t="s">
        <v>79</v>
      </c>
      <c r="G230" t="s">
        <v>85</v>
      </c>
      <c r="H230" t="s">
        <v>52</v>
      </c>
      <c r="I230" t="s">
        <v>42</v>
      </c>
      <c r="J230" t="s">
        <v>26</v>
      </c>
      <c r="K230" t="s">
        <v>27</v>
      </c>
      <c r="L230">
        <v>871.46</v>
      </c>
      <c r="M230">
        <v>5</v>
      </c>
      <c r="N230" s="2">
        <v>0</v>
      </c>
      <c r="O230">
        <v>4357.3</v>
      </c>
      <c r="P230">
        <v>0</v>
      </c>
      <c r="Q230">
        <f>Sheet1__3_1_1_1[[#This Row],[Gross_Revenue]]-Sheet1__3_1_1_1[[#This Row],[Discount_Amount]]</f>
        <v>4357.3</v>
      </c>
      <c r="R230">
        <v>2701.53</v>
      </c>
      <c r="S230">
        <f>Sheet1__3_1_1_1[[#This Row],[Net_Revenue]]-Sheet1__3_1_1_1[[#This Row],[COGS]]</f>
        <v>1655.77</v>
      </c>
    </row>
    <row r="231" spans="1:19" x14ac:dyDescent="0.25">
      <c r="A231" t="s">
        <v>326</v>
      </c>
      <c r="B231" s="1">
        <v>44637</v>
      </c>
      <c r="C231" t="s">
        <v>19</v>
      </c>
      <c r="D231" t="s">
        <v>130</v>
      </c>
      <c r="E231" t="s">
        <v>63</v>
      </c>
      <c r="F231" t="s">
        <v>69</v>
      </c>
      <c r="G231" t="s">
        <v>73</v>
      </c>
      <c r="H231" t="s">
        <v>59</v>
      </c>
      <c r="I231" t="s">
        <v>25</v>
      </c>
      <c r="J231" t="s">
        <v>94</v>
      </c>
      <c r="K231" t="s">
        <v>53</v>
      </c>
      <c r="L231">
        <v>14.66</v>
      </c>
      <c r="M231">
        <v>22</v>
      </c>
      <c r="N231" s="2">
        <v>0.15</v>
      </c>
      <c r="O231">
        <v>322.52</v>
      </c>
      <c r="P231">
        <v>48.377999999999993</v>
      </c>
      <c r="Q231">
        <f>Sheet1__3_1_1_1[[#This Row],[Gross_Revenue]]-Sheet1__3_1_1_1[[#This Row],[Discount_Amount]]</f>
        <v>274.142</v>
      </c>
      <c r="R231">
        <v>104.17</v>
      </c>
      <c r="S231">
        <f>Sheet1__3_1_1_1[[#This Row],[Net_Revenue]]-Sheet1__3_1_1_1[[#This Row],[COGS]]</f>
        <v>169.97199999999998</v>
      </c>
    </row>
    <row r="232" spans="1:19" x14ac:dyDescent="0.25">
      <c r="A232" t="s">
        <v>327</v>
      </c>
      <c r="B232" s="1">
        <v>44822</v>
      </c>
      <c r="C232" t="s">
        <v>77</v>
      </c>
      <c r="D232" t="s">
        <v>110</v>
      </c>
      <c r="E232" t="s">
        <v>66</v>
      </c>
      <c r="F232" t="s">
        <v>31</v>
      </c>
      <c r="G232" t="s">
        <v>122</v>
      </c>
      <c r="H232" t="s">
        <v>59</v>
      </c>
      <c r="I232" t="s">
        <v>34</v>
      </c>
      <c r="J232" t="s">
        <v>26</v>
      </c>
      <c r="K232" t="s">
        <v>143</v>
      </c>
      <c r="L232">
        <v>511.1</v>
      </c>
      <c r="M232">
        <v>3</v>
      </c>
      <c r="N232" s="2">
        <v>0.05</v>
      </c>
      <c r="O232">
        <v>1533.3000000000002</v>
      </c>
      <c r="P232">
        <v>76.665000000000006</v>
      </c>
      <c r="Q232">
        <f>Sheet1__3_1_1_1[[#This Row],[Gross_Revenue]]-Sheet1__3_1_1_1[[#This Row],[Discount_Amount]]</f>
        <v>1456.6350000000002</v>
      </c>
      <c r="R232">
        <v>699.18</v>
      </c>
      <c r="S232">
        <f>Sheet1__3_1_1_1[[#This Row],[Net_Revenue]]-Sheet1__3_1_1_1[[#This Row],[COGS]]</f>
        <v>757.45500000000027</v>
      </c>
    </row>
    <row r="233" spans="1:19" x14ac:dyDescent="0.25">
      <c r="A233" t="s">
        <v>328</v>
      </c>
      <c r="B233" s="1">
        <v>44948</v>
      </c>
      <c r="C233" t="s">
        <v>99</v>
      </c>
      <c r="D233" t="s">
        <v>148</v>
      </c>
      <c r="E233" t="s">
        <v>21</v>
      </c>
      <c r="F233" t="s">
        <v>55</v>
      </c>
      <c r="G233" t="s">
        <v>56</v>
      </c>
      <c r="H233" t="s">
        <v>57</v>
      </c>
      <c r="I233" t="s">
        <v>34</v>
      </c>
      <c r="J233" t="s">
        <v>94</v>
      </c>
      <c r="K233" t="s">
        <v>36</v>
      </c>
      <c r="L233">
        <v>44.58</v>
      </c>
      <c r="M233">
        <v>6</v>
      </c>
      <c r="N233" s="2">
        <v>0.05</v>
      </c>
      <c r="O233">
        <v>267.48</v>
      </c>
      <c r="P233">
        <v>13.374000000000002</v>
      </c>
      <c r="Q233">
        <f>Sheet1__3_1_1_1[[#This Row],[Gross_Revenue]]-Sheet1__3_1_1_1[[#This Row],[Discount_Amount]]</f>
        <v>254.10600000000002</v>
      </c>
      <c r="R233">
        <v>106.73</v>
      </c>
      <c r="S233">
        <f>Sheet1__3_1_1_1[[#This Row],[Net_Revenue]]-Sheet1__3_1_1_1[[#This Row],[COGS]]</f>
        <v>147.37600000000003</v>
      </c>
    </row>
    <row r="234" spans="1:19" x14ac:dyDescent="0.25">
      <c r="A234" t="s">
        <v>329</v>
      </c>
      <c r="B234" s="1">
        <v>44735</v>
      </c>
      <c r="C234" t="s">
        <v>77</v>
      </c>
      <c r="D234" t="s">
        <v>82</v>
      </c>
      <c r="E234" t="s">
        <v>63</v>
      </c>
      <c r="F234" t="s">
        <v>31</v>
      </c>
      <c r="G234" t="s">
        <v>93</v>
      </c>
      <c r="H234" t="s">
        <v>71</v>
      </c>
      <c r="I234" t="s">
        <v>42</v>
      </c>
      <c r="J234" t="s">
        <v>94</v>
      </c>
      <c r="K234" t="s">
        <v>36</v>
      </c>
      <c r="L234">
        <v>128.36000000000001</v>
      </c>
      <c r="M234">
        <v>5</v>
      </c>
      <c r="N234" s="2">
        <v>0.05</v>
      </c>
      <c r="O234">
        <v>641.80000000000007</v>
      </c>
      <c r="P234">
        <v>32.090000000000003</v>
      </c>
      <c r="Q234">
        <f>Sheet1__3_1_1_1[[#This Row],[Gross_Revenue]]-Sheet1__3_1_1_1[[#This Row],[Discount_Amount]]</f>
        <v>609.71</v>
      </c>
      <c r="R234">
        <v>292.66000000000003</v>
      </c>
      <c r="S234">
        <f>Sheet1__3_1_1_1[[#This Row],[Net_Revenue]]-Sheet1__3_1_1_1[[#This Row],[COGS]]</f>
        <v>317.05</v>
      </c>
    </row>
    <row r="235" spans="1:19" x14ac:dyDescent="0.25">
      <c r="A235" t="s">
        <v>330</v>
      </c>
      <c r="B235" s="1">
        <v>45202</v>
      </c>
      <c r="C235" t="s">
        <v>77</v>
      </c>
      <c r="D235" t="s">
        <v>110</v>
      </c>
      <c r="E235" t="s">
        <v>63</v>
      </c>
      <c r="F235" t="s">
        <v>22</v>
      </c>
      <c r="G235" t="s">
        <v>23</v>
      </c>
      <c r="H235" t="s">
        <v>108</v>
      </c>
      <c r="I235" t="s">
        <v>34</v>
      </c>
      <c r="J235" t="s">
        <v>35</v>
      </c>
      <c r="K235" t="s">
        <v>36</v>
      </c>
      <c r="L235">
        <v>18.440000000000001</v>
      </c>
      <c r="M235">
        <v>11</v>
      </c>
      <c r="N235" s="2">
        <v>0.2</v>
      </c>
      <c r="O235">
        <v>202.84</v>
      </c>
      <c r="P235">
        <v>40.568000000000005</v>
      </c>
      <c r="Q235">
        <f>Sheet1__3_1_1_1[[#This Row],[Gross_Revenue]]-Sheet1__3_1_1_1[[#This Row],[Discount_Amount]]</f>
        <v>162.27199999999999</v>
      </c>
      <c r="R235">
        <v>89.25</v>
      </c>
      <c r="S235">
        <f>Sheet1__3_1_1_1[[#This Row],[Net_Revenue]]-Sheet1__3_1_1_1[[#This Row],[COGS]]</f>
        <v>73.021999999999991</v>
      </c>
    </row>
    <row r="236" spans="1:19" x14ac:dyDescent="0.25">
      <c r="A236" t="s">
        <v>331</v>
      </c>
      <c r="B236" s="1">
        <v>44967</v>
      </c>
      <c r="C236" t="s">
        <v>29</v>
      </c>
      <c r="D236" t="s">
        <v>62</v>
      </c>
      <c r="E236" t="s">
        <v>39</v>
      </c>
      <c r="F236" t="s">
        <v>55</v>
      </c>
      <c r="G236" t="s">
        <v>56</v>
      </c>
      <c r="H236" t="s">
        <v>52</v>
      </c>
      <c r="I236" t="s">
        <v>34</v>
      </c>
      <c r="J236" t="s">
        <v>35</v>
      </c>
      <c r="K236" t="s">
        <v>36</v>
      </c>
      <c r="L236">
        <v>45.41</v>
      </c>
      <c r="M236">
        <v>5</v>
      </c>
      <c r="N236" s="2">
        <v>0.2</v>
      </c>
      <c r="O236">
        <v>227.04999999999998</v>
      </c>
      <c r="P236">
        <v>45.41</v>
      </c>
      <c r="Q236">
        <f>Sheet1__3_1_1_1[[#This Row],[Gross_Revenue]]-Sheet1__3_1_1_1[[#This Row],[Discount_Amount]]</f>
        <v>181.64</v>
      </c>
      <c r="R236">
        <v>76.290000000000006</v>
      </c>
      <c r="S236">
        <f>Sheet1__3_1_1_1[[#This Row],[Net_Revenue]]-Sheet1__3_1_1_1[[#This Row],[COGS]]</f>
        <v>105.34999999999998</v>
      </c>
    </row>
    <row r="237" spans="1:19" x14ac:dyDescent="0.25">
      <c r="A237" t="s">
        <v>332</v>
      </c>
      <c r="B237" s="1">
        <v>44874</v>
      </c>
      <c r="C237" t="s">
        <v>29</v>
      </c>
      <c r="D237" t="s">
        <v>30</v>
      </c>
      <c r="E237" t="s">
        <v>63</v>
      </c>
      <c r="F237" t="s">
        <v>22</v>
      </c>
      <c r="G237" t="s">
        <v>113</v>
      </c>
      <c r="H237" t="s">
        <v>47</v>
      </c>
      <c r="I237" t="s">
        <v>60</v>
      </c>
      <c r="J237" t="s">
        <v>94</v>
      </c>
      <c r="K237" t="s">
        <v>53</v>
      </c>
      <c r="L237">
        <v>10.87</v>
      </c>
      <c r="M237">
        <v>15</v>
      </c>
      <c r="N237" s="2">
        <v>0.15</v>
      </c>
      <c r="O237">
        <v>163.04999999999998</v>
      </c>
      <c r="P237">
        <v>24.457499999999996</v>
      </c>
      <c r="Q237">
        <f>Sheet1__3_1_1_1[[#This Row],[Gross_Revenue]]-Sheet1__3_1_1_1[[#This Row],[Discount_Amount]]</f>
        <v>138.59249999999997</v>
      </c>
      <c r="R237">
        <v>76.22</v>
      </c>
      <c r="S237">
        <f>Sheet1__3_1_1_1[[#This Row],[Net_Revenue]]-Sheet1__3_1_1_1[[#This Row],[COGS]]</f>
        <v>62.372499999999974</v>
      </c>
    </row>
    <row r="238" spans="1:19" x14ac:dyDescent="0.25">
      <c r="A238" t="s">
        <v>333</v>
      </c>
      <c r="B238" s="1">
        <v>44722</v>
      </c>
      <c r="C238" t="s">
        <v>19</v>
      </c>
      <c r="D238" t="s">
        <v>20</v>
      </c>
      <c r="E238" t="s">
        <v>21</v>
      </c>
      <c r="F238" t="s">
        <v>55</v>
      </c>
      <c r="G238" t="s">
        <v>56</v>
      </c>
      <c r="H238" t="s">
        <v>108</v>
      </c>
      <c r="I238" t="s">
        <v>34</v>
      </c>
      <c r="J238" t="s">
        <v>35</v>
      </c>
      <c r="K238" t="s">
        <v>143</v>
      </c>
      <c r="L238">
        <v>44.27</v>
      </c>
      <c r="M238">
        <v>3</v>
      </c>
      <c r="N238" s="2">
        <v>0</v>
      </c>
      <c r="O238">
        <v>132.81</v>
      </c>
      <c r="P238">
        <v>0</v>
      </c>
      <c r="Q238">
        <f>Sheet1__3_1_1_1[[#This Row],[Gross_Revenue]]-Sheet1__3_1_1_1[[#This Row],[Discount_Amount]]</f>
        <v>132.81</v>
      </c>
      <c r="R238">
        <v>55.78</v>
      </c>
      <c r="S238">
        <f>Sheet1__3_1_1_1[[#This Row],[Net_Revenue]]-Sheet1__3_1_1_1[[#This Row],[COGS]]</f>
        <v>77.03</v>
      </c>
    </row>
    <row r="239" spans="1:19" x14ac:dyDescent="0.25">
      <c r="A239" t="s">
        <v>334</v>
      </c>
      <c r="B239" s="1">
        <v>45047</v>
      </c>
      <c r="C239" t="s">
        <v>44</v>
      </c>
      <c r="D239" t="s">
        <v>65</v>
      </c>
      <c r="E239" t="s">
        <v>21</v>
      </c>
      <c r="F239" t="s">
        <v>55</v>
      </c>
      <c r="G239" t="s">
        <v>67</v>
      </c>
      <c r="H239" t="s">
        <v>108</v>
      </c>
      <c r="I239" t="s">
        <v>34</v>
      </c>
      <c r="J239" t="s">
        <v>49</v>
      </c>
      <c r="K239" t="s">
        <v>36</v>
      </c>
      <c r="L239">
        <v>82.89</v>
      </c>
      <c r="M239">
        <v>3</v>
      </c>
      <c r="N239" s="2">
        <v>0.2</v>
      </c>
      <c r="O239">
        <v>248.67000000000002</v>
      </c>
      <c r="P239">
        <v>49.734000000000009</v>
      </c>
      <c r="Q239">
        <f>Sheet1__3_1_1_1[[#This Row],[Gross_Revenue]]-Sheet1__3_1_1_1[[#This Row],[Discount_Amount]]</f>
        <v>198.93600000000001</v>
      </c>
      <c r="R239">
        <v>83.55</v>
      </c>
      <c r="S239">
        <f>Sheet1__3_1_1_1[[#This Row],[Net_Revenue]]-Sheet1__3_1_1_1[[#This Row],[COGS]]</f>
        <v>115.38600000000001</v>
      </c>
    </row>
    <row r="240" spans="1:19" x14ac:dyDescent="0.25">
      <c r="A240" t="s">
        <v>335</v>
      </c>
      <c r="B240" s="1">
        <v>44985</v>
      </c>
      <c r="C240" t="s">
        <v>19</v>
      </c>
      <c r="D240" t="s">
        <v>91</v>
      </c>
      <c r="E240" t="s">
        <v>39</v>
      </c>
      <c r="F240" t="s">
        <v>69</v>
      </c>
      <c r="G240" t="s">
        <v>70</v>
      </c>
      <c r="H240" t="s">
        <v>111</v>
      </c>
      <c r="I240" t="s">
        <v>25</v>
      </c>
      <c r="J240" t="s">
        <v>49</v>
      </c>
      <c r="K240" t="s">
        <v>36</v>
      </c>
      <c r="L240">
        <v>275.54000000000002</v>
      </c>
      <c r="M240">
        <v>22</v>
      </c>
      <c r="N240" s="2">
        <v>0.15</v>
      </c>
      <c r="O240">
        <v>6061.88</v>
      </c>
      <c r="P240">
        <v>909.28200000000004</v>
      </c>
      <c r="Q240">
        <f>Sheet1__3_1_1_1[[#This Row],[Gross_Revenue]]-Sheet1__3_1_1_1[[#This Row],[Discount_Amount]]</f>
        <v>5152.598</v>
      </c>
      <c r="R240">
        <v>1957.99</v>
      </c>
      <c r="S240">
        <f>Sheet1__3_1_1_1[[#This Row],[Net_Revenue]]-Sheet1__3_1_1_1[[#This Row],[COGS]]</f>
        <v>3194.6080000000002</v>
      </c>
    </row>
    <row r="241" spans="1:19" x14ac:dyDescent="0.25">
      <c r="A241" t="s">
        <v>336</v>
      </c>
      <c r="B241" s="1">
        <v>44732</v>
      </c>
      <c r="C241" t="s">
        <v>77</v>
      </c>
      <c r="D241" t="s">
        <v>78</v>
      </c>
      <c r="E241" t="s">
        <v>66</v>
      </c>
      <c r="F241" t="s">
        <v>55</v>
      </c>
      <c r="G241" t="s">
        <v>120</v>
      </c>
      <c r="H241" t="s">
        <v>47</v>
      </c>
      <c r="I241" t="s">
        <v>25</v>
      </c>
      <c r="J241" t="s">
        <v>49</v>
      </c>
      <c r="K241" t="s">
        <v>53</v>
      </c>
      <c r="L241">
        <v>100.66</v>
      </c>
      <c r="M241">
        <v>2</v>
      </c>
      <c r="N241" s="2">
        <v>0.2</v>
      </c>
      <c r="O241">
        <v>201.32</v>
      </c>
      <c r="P241">
        <v>40.264000000000003</v>
      </c>
      <c r="Q241">
        <f>Sheet1__3_1_1_1[[#This Row],[Gross_Revenue]]-Sheet1__3_1_1_1[[#This Row],[Discount_Amount]]</f>
        <v>161.05599999999998</v>
      </c>
      <c r="R241">
        <v>67.650000000000006</v>
      </c>
      <c r="S241">
        <f>Sheet1__3_1_1_1[[#This Row],[Net_Revenue]]-Sheet1__3_1_1_1[[#This Row],[COGS]]</f>
        <v>93.405999999999977</v>
      </c>
    </row>
    <row r="242" spans="1:19" x14ac:dyDescent="0.25">
      <c r="A242" t="s">
        <v>337</v>
      </c>
      <c r="B242" s="1">
        <v>44739</v>
      </c>
      <c r="C242" t="s">
        <v>99</v>
      </c>
      <c r="D242" t="s">
        <v>132</v>
      </c>
      <c r="E242" t="s">
        <v>66</v>
      </c>
      <c r="F242" t="s">
        <v>22</v>
      </c>
      <c r="G242" t="s">
        <v>113</v>
      </c>
      <c r="H242" t="s">
        <v>24</v>
      </c>
      <c r="I242" t="s">
        <v>25</v>
      </c>
      <c r="J242" t="s">
        <v>94</v>
      </c>
      <c r="K242" t="s">
        <v>36</v>
      </c>
      <c r="L242">
        <v>11.21</v>
      </c>
      <c r="M242">
        <v>2</v>
      </c>
      <c r="N242" s="2">
        <v>0</v>
      </c>
      <c r="O242">
        <v>22.42</v>
      </c>
      <c r="P242">
        <v>0</v>
      </c>
      <c r="Q242">
        <f>Sheet1__3_1_1_1[[#This Row],[Gross_Revenue]]-Sheet1__3_1_1_1[[#This Row],[Discount_Amount]]</f>
        <v>22.42</v>
      </c>
      <c r="R242">
        <v>12.33</v>
      </c>
      <c r="S242">
        <f>Sheet1__3_1_1_1[[#This Row],[Net_Revenue]]-Sheet1__3_1_1_1[[#This Row],[COGS]]</f>
        <v>10.090000000000002</v>
      </c>
    </row>
    <row r="243" spans="1:19" x14ac:dyDescent="0.25">
      <c r="A243" t="s">
        <v>338</v>
      </c>
      <c r="B243" s="1">
        <v>45140</v>
      </c>
      <c r="C243" t="s">
        <v>19</v>
      </c>
      <c r="D243" t="s">
        <v>20</v>
      </c>
      <c r="E243" t="s">
        <v>39</v>
      </c>
      <c r="F243" t="s">
        <v>69</v>
      </c>
      <c r="G243" t="s">
        <v>70</v>
      </c>
      <c r="H243" t="s">
        <v>59</v>
      </c>
      <c r="I243" t="s">
        <v>25</v>
      </c>
      <c r="J243" t="s">
        <v>89</v>
      </c>
      <c r="K243" t="s">
        <v>27</v>
      </c>
      <c r="L243">
        <v>294.88</v>
      </c>
      <c r="M243">
        <v>18</v>
      </c>
      <c r="N243" s="2">
        <v>0.1</v>
      </c>
      <c r="O243">
        <v>5307.84</v>
      </c>
      <c r="P243">
        <v>530.78399999999999</v>
      </c>
      <c r="Q243">
        <f>Sheet1__3_1_1_1[[#This Row],[Gross_Revenue]]-Sheet1__3_1_1_1[[#This Row],[Discount_Amount]]</f>
        <v>4777.0560000000005</v>
      </c>
      <c r="R243">
        <v>1815.28</v>
      </c>
      <c r="S243">
        <f>Sheet1__3_1_1_1[[#This Row],[Net_Revenue]]-Sheet1__3_1_1_1[[#This Row],[COGS]]</f>
        <v>2961.7760000000007</v>
      </c>
    </row>
    <row r="244" spans="1:19" x14ac:dyDescent="0.25">
      <c r="A244" t="s">
        <v>339</v>
      </c>
      <c r="B244" s="1">
        <v>44735</v>
      </c>
      <c r="C244" t="s">
        <v>19</v>
      </c>
      <c r="D244" t="s">
        <v>130</v>
      </c>
      <c r="E244" t="s">
        <v>63</v>
      </c>
      <c r="F244" t="s">
        <v>79</v>
      </c>
      <c r="G244" t="s">
        <v>80</v>
      </c>
      <c r="H244" t="s">
        <v>24</v>
      </c>
      <c r="I244" t="s">
        <v>60</v>
      </c>
      <c r="J244" t="s">
        <v>49</v>
      </c>
      <c r="K244" t="s">
        <v>53</v>
      </c>
      <c r="L244">
        <v>645.04999999999995</v>
      </c>
      <c r="M244">
        <v>7</v>
      </c>
      <c r="N244" s="2">
        <v>0.2</v>
      </c>
      <c r="O244">
        <v>4515.3499999999995</v>
      </c>
      <c r="P244">
        <v>903.06999999999994</v>
      </c>
      <c r="Q244">
        <f>Sheet1__3_1_1_1[[#This Row],[Gross_Revenue]]-Sheet1__3_1_1_1[[#This Row],[Discount_Amount]]</f>
        <v>3612.2799999999997</v>
      </c>
      <c r="R244">
        <v>2239.61</v>
      </c>
      <c r="S244">
        <f>Sheet1__3_1_1_1[[#This Row],[Net_Revenue]]-Sheet1__3_1_1_1[[#This Row],[COGS]]</f>
        <v>1372.6699999999996</v>
      </c>
    </row>
    <row r="245" spans="1:19" x14ac:dyDescent="0.25">
      <c r="A245" t="s">
        <v>340</v>
      </c>
      <c r="B245" s="1">
        <v>44576</v>
      </c>
      <c r="C245" t="s">
        <v>77</v>
      </c>
      <c r="D245" t="s">
        <v>78</v>
      </c>
      <c r="E245" t="s">
        <v>21</v>
      </c>
      <c r="F245" t="s">
        <v>79</v>
      </c>
      <c r="G245" t="s">
        <v>85</v>
      </c>
      <c r="H245" t="s">
        <v>59</v>
      </c>
      <c r="I245" t="s">
        <v>48</v>
      </c>
      <c r="J245" t="s">
        <v>35</v>
      </c>
      <c r="K245" t="s">
        <v>143</v>
      </c>
      <c r="L245">
        <v>751.05</v>
      </c>
      <c r="M245">
        <v>8</v>
      </c>
      <c r="N245" s="2">
        <v>0</v>
      </c>
      <c r="O245">
        <v>6008.4</v>
      </c>
      <c r="P245">
        <v>0</v>
      </c>
      <c r="Q245">
        <f>Sheet1__3_1_1_1[[#This Row],[Gross_Revenue]]-Sheet1__3_1_1_1[[#This Row],[Discount_Amount]]</f>
        <v>6008.4</v>
      </c>
      <c r="R245">
        <v>3725.21</v>
      </c>
      <c r="S245">
        <f>Sheet1__3_1_1_1[[#This Row],[Net_Revenue]]-Sheet1__3_1_1_1[[#This Row],[COGS]]</f>
        <v>2283.1899999999996</v>
      </c>
    </row>
    <row r="246" spans="1:19" x14ac:dyDescent="0.25">
      <c r="A246" t="s">
        <v>341</v>
      </c>
      <c r="B246" s="1">
        <v>45090</v>
      </c>
      <c r="C246" t="s">
        <v>29</v>
      </c>
      <c r="D246" t="s">
        <v>30</v>
      </c>
      <c r="E246" t="s">
        <v>39</v>
      </c>
      <c r="F246" t="s">
        <v>79</v>
      </c>
      <c r="G246" t="s">
        <v>56</v>
      </c>
      <c r="H246" t="s">
        <v>71</v>
      </c>
      <c r="I246" t="s">
        <v>42</v>
      </c>
      <c r="J246" t="s">
        <v>26</v>
      </c>
      <c r="K246" t="s">
        <v>36</v>
      </c>
      <c r="L246">
        <v>38.39</v>
      </c>
      <c r="M246">
        <v>4</v>
      </c>
      <c r="N246" s="2">
        <v>0</v>
      </c>
      <c r="O246">
        <v>153.56</v>
      </c>
      <c r="P246">
        <v>0</v>
      </c>
      <c r="Q246">
        <f>Sheet1__3_1_1_1[[#This Row],[Gross_Revenue]]-Sheet1__3_1_1_1[[#This Row],[Discount_Amount]]</f>
        <v>153.56</v>
      </c>
      <c r="R246">
        <v>95.21</v>
      </c>
      <c r="S246">
        <f>Sheet1__3_1_1_1[[#This Row],[Net_Revenue]]-Sheet1__3_1_1_1[[#This Row],[COGS]]</f>
        <v>58.350000000000009</v>
      </c>
    </row>
    <row r="247" spans="1:19" x14ac:dyDescent="0.25">
      <c r="A247" t="s">
        <v>342</v>
      </c>
      <c r="B247" s="1">
        <v>45044</v>
      </c>
      <c r="C247" t="s">
        <v>77</v>
      </c>
      <c r="D247" t="s">
        <v>78</v>
      </c>
      <c r="E247" t="s">
        <v>39</v>
      </c>
      <c r="F247" t="s">
        <v>55</v>
      </c>
      <c r="G247" t="s">
        <v>83</v>
      </c>
      <c r="H247" t="s">
        <v>59</v>
      </c>
      <c r="I247" t="s">
        <v>25</v>
      </c>
      <c r="J247" t="s">
        <v>89</v>
      </c>
      <c r="K247" t="s">
        <v>36</v>
      </c>
      <c r="L247" t="s">
        <v>1147</v>
      </c>
      <c r="M247">
        <v>4</v>
      </c>
      <c r="N247" s="2">
        <v>0.05</v>
      </c>
      <c r="O247">
        <v>0</v>
      </c>
      <c r="P247">
        <v>0</v>
      </c>
      <c r="Q247">
        <f>Sheet1__3_1_1_1[[#This Row],[Gross_Revenue]]-Sheet1__3_1_1_1[[#This Row],[Discount_Amount]]</f>
        <v>0</v>
      </c>
      <c r="R247" t="s">
        <v>1147</v>
      </c>
      <c r="S247" t="e">
        <f>Sheet1__3_1_1_1[[#This Row],[Net_Revenue]]-Sheet1__3_1_1_1[[#This Row],[COGS]]</f>
        <v>#VALUE!</v>
      </c>
    </row>
    <row r="248" spans="1:19" x14ac:dyDescent="0.25">
      <c r="A248" t="s">
        <v>343</v>
      </c>
      <c r="B248" s="1">
        <v>44651</v>
      </c>
      <c r="C248" t="s">
        <v>77</v>
      </c>
      <c r="D248" t="s">
        <v>110</v>
      </c>
      <c r="E248" t="s">
        <v>21</v>
      </c>
      <c r="F248" t="s">
        <v>22</v>
      </c>
      <c r="G248" t="s">
        <v>46</v>
      </c>
      <c r="H248" t="s">
        <v>106</v>
      </c>
      <c r="I248" t="s">
        <v>48</v>
      </c>
      <c r="J248" t="s">
        <v>26</v>
      </c>
      <c r="K248" t="s">
        <v>36</v>
      </c>
      <c r="L248">
        <v>21.98</v>
      </c>
      <c r="M248">
        <v>20</v>
      </c>
      <c r="N248" s="2">
        <v>0.1</v>
      </c>
      <c r="O248">
        <v>439.6</v>
      </c>
      <c r="P248">
        <v>43.960000000000008</v>
      </c>
      <c r="Q248">
        <f>Sheet1__3_1_1_1[[#This Row],[Gross_Revenue]]-Sheet1__3_1_1_1[[#This Row],[Discount_Amount]]</f>
        <v>395.64</v>
      </c>
      <c r="R248">
        <v>217.6</v>
      </c>
      <c r="S248">
        <f>Sheet1__3_1_1_1[[#This Row],[Net_Revenue]]-Sheet1__3_1_1_1[[#This Row],[COGS]]</f>
        <v>178.04</v>
      </c>
    </row>
    <row r="249" spans="1:19" x14ac:dyDescent="0.25">
      <c r="A249" t="s">
        <v>344</v>
      </c>
      <c r="B249" s="1">
        <v>44812</v>
      </c>
      <c r="C249" t="s">
        <v>99</v>
      </c>
      <c r="D249" t="s">
        <v>148</v>
      </c>
      <c r="E249" t="s">
        <v>21</v>
      </c>
      <c r="F249" t="s">
        <v>55</v>
      </c>
      <c r="G249" t="s">
        <v>120</v>
      </c>
      <c r="H249" t="s">
        <v>52</v>
      </c>
      <c r="I249" t="s">
        <v>48</v>
      </c>
      <c r="J249" t="s">
        <v>35</v>
      </c>
      <c r="K249" t="s">
        <v>143</v>
      </c>
      <c r="L249">
        <v>130.59</v>
      </c>
      <c r="M249">
        <v>1</v>
      </c>
      <c r="N249" s="2">
        <v>0</v>
      </c>
      <c r="O249">
        <v>130.59</v>
      </c>
      <c r="P249">
        <v>0</v>
      </c>
      <c r="Q249">
        <f>Sheet1__3_1_1_1[[#This Row],[Gross_Revenue]]-Sheet1__3_1_1_1[[#This Row],[Discount_Amount]]</f>
        <v>130.59</v>
      </c>
      <c r="R249">
        <v>54.85</v>
      </c>
      <c r="S249">
        <f>Sheet1__3_1_1_1[[#This Row],[Net_Revenue]]-Sheet1__3_1_1_1[[#This Row],[COGS]]</f>
        <v>75.740000000000009</v>
      </c>
    </row>
    <row r="250" spans="1:19" x14ac:dyDescent="0.25">
      <c r="A250" t="s">
        <v>345</v>
      </c>
      <c r="B250" s="1">
        <v>44999</v>
      </c>
      <c r="C250" t="s">
        <v>77</v>
      </c>
      <c r="D250" t="s">
        <v>78</v>
      </c>
      <c r="E250" t="s">
        <v>63</v>
      </c>
      <c r="F250" t="s">
        <v>55</v>
      </c>
      <c r="G250" t="s">
        <v>103</v>
      </c>
      <c r="H250" t="s">
        <v>111</v>
      </c>
      <c r="I250" t="s">
        <v>48</v>
      </c>
      <c r="J250" t="s">
        <v>49</v>
      </c>
      <c r="K250" t="s">
        <v>53</v>
      </c>
      <c r="L250">
        <v>184.37</v>
      </c>
      <c r="M250">
        <v>5</v>
      </c>
      <c r="N250" s="2">
        <v>0.2</v>
      </c>
      <c r="O250">
        <v>921.85</v>
      </c>
      <c r="P250">
        <v>184.37</v>
      </c>
      <c r="Q250">
        <f>Sheet1__3_1_1_1[[#This Row],[Gross_Revenue]]-Sheet1__3_1_1_1[[#This Row],[Discount_Amount]]</f>
        <v>737.48</v>
      </c>
      <c r="R250">
        <v>309.74</v>
      </c>
      <c r="S250">
        <f>Sheet1__3_1_1_1[[#This Row],[Net_Revenue]]-Sheet1__3_1_1_1[[#This Row],[COGS]]</f>
        <v>427.74</v>
      </c>
    </row>
    <row r="251" spans="1:19" x14ac:dyDescent="0.25">
      <c r="A251" t="s">
        <v>346</v>
      </c>
      <c r="B251" s="1">
        <v>45133</v>
      </c>
      <c r="C251" t="s">
        <v>44</v>
      </c>
      <c r="D251" t="s">
        <v>65</v>
      </c>
      <c r="E251" t="s">
        <v>66</v>
      </c>
      <c r="F251" t="s">
        <v>31</v>
      </c>
      <c r="G251" t="s">
        <v>40</v>
      </c>
      <c r="H251" t="s">
        <v>106</v>
      </c>
      <c r="I251" t="s">
        <v>42</v>
      </c>
      <c r="J251" t="s">
        <v>89</v>
      </c>
      <c r="K251" t="s">
        <v>53</v>
      </c>
      <c r="L251">
        <v>243.12</v>
      </c>
      <c r="M251">
        <v>8</v>
      </c>
      <c r="N251" s="2">
        <v>0.1</v>
      </c>
      <c r="O251">
        <v>1944.96</v>
      </c>
      <c r="P251">
        <v>194.49600000000001</v>
      </c>
      <c r="Q251">
        <f>Sheet1__3_1_1_1[[#This Row],[Gross_Revenue]]-Sheet1__3_1_1_1[[#This Row],[Discount_Amount]]</f>
        <v>1750.4639999999999</v>
      </c>
      <c r="R251">
        <v>840.22</v>
      </c>
      <c r="S251">
        <f>Sheet1__3_1_1_1[[#This Row],[Net_Revenue]]-Sheet1__3_1_1_1[[#This Row],[COGS]]</f>
        <v>910.24399999999991</v>
      </c>
    </row>
    <row r="252" spans="1:19" x14ac:dyDescent="0.25">
      <c r="A252" t="s">
        <v>347</v>
      </c>
      <c r="B252" s="1">
        <v>44882</v>
      </c>
      <c r="C252" t="s">
        <v>44</v>
      </c>
      <c r="D252" t="s">
        <v>65</v>
      </c>
      <c r="E252" t="s">
        <v>39</v>
      </c>
      <c r="F252" t="s">
        <v>55</v>
      </c>
      <c r="G252" t="s">
        <v>67</v>
      </c>
      <c r="H252" t="s">
        <v>33</v>
      </c>
      <c r="I252" t="s">
        <v>42</v>
      </c>
      <c r="J252" t="s">
        <v>49</v>
      </c>
      <c r="K252" t="s">
        <v>27</v>
      </c>
      <c r="L252">
        <v>72.459999999999994</v>
      </c>
      <c r="M252">
        <v>5</v>
      </c>
      <c r="N252" s="2">
        <v>0</v>
      </c>
      <c r="O252">
        <v>362.29999999999995</v>
      </c>
      <c r="P252">
        <v>0</v>
      </c>
      <c r="Q252">
        <f>Sheet1__3_1_1_1[[#This Row],[Gross_Revenue]]-Sheet1__3_1_1_1[[#This Row],[Discount_Amount]]</f>
        <v>362.29999999999995</v>
      </c>
      <c r="R252">
        <v>152.16999999999999</v>
      </c>
      <c r="S252">
        <f>Sheet1__3_1_1_1[[#This Row],[Net_Revenue]]-Sheet1__3_1_1_1[[#This Row],[COGS]]</f>
        <v>210.12999999999997</v>
      </c>
    </row>
    <row r="253" spans="1:19" x14ac:dyDescent="0.25">
      <c r="A253" t="s">
        <v>348</v>
      </c>
      <c r="B253" s="1">
        <v>44709</v>
      </c>
      <c r="C253" t="s">
        <v>29</v>
      </c>
      <c r="D253" t="s">
        <v>30</v>
      </c>
      <c r="E253" t="s">
        <v>21</v>
      </c>
      <c r="F253" t="s">
        <v>55</v>
      </c>
      <c r="G253" t="s">
        <v>56</v>
      </c>
      <c r="H253" t="s">
        <v>59</v>
      </c>
      <c r="I253" t="s">
        <v>25</v>
      </c>
      <c r="J253" t="s">
        <v>35</v>
      </c>
      <c r="K253" t="s">
        <v>143</v>
      </c>
      <c r="L253">
        <v>42</v>
      </c>
      <c r="M253">
        <v>7</v>
      </c>
      <c r="N253" s="2">
        <v>0.05</v>
      </c>
      <c r="O253">
        <v>294</v>
      </c>
      <c r="P253">
        <v>14.700000000000001</v>
      </c>
      <c r="Q253">
        <f>Sheet1__3_1_1_1[[#This Row],[Gross_Revenue]]-Sheet1__3_1_1_1[[#This Row],[Discount_Amount]]</f>
        <v>279.3</v>
      </c>
      <c r="R253">
        <v>117.31</v>
      </c>
      <c r="S253">
        <f>Sheet1__3_1_1_1[[#This Row],[Net_Revenue]]-Sheet1__3_1_1_1[[#This Row],[COGS]]</f>
        <v>161.99</v>
      </c>
    </row>
    <row r="254" spans="1:19" x14ac:dyDescent="0.25">
      <c r="A254" t="s">
        <v>349</v>
      </c>
      <c r="B254" s="1">
        <v>45175</v>
      </c>
      <c r="C254" t="s">
        <v>29</v>
      </c>
      <c r="D254" t="s">
        <v>30</v>
      </c>
      <c r="E254" t="s">
        <v>66</v>
      </c>
      <c r="F254" t="s">
        <v>79</v>
      </c>
      <c r="G254" t="s">
        <v>85</v>
      </c>
      <c r="H254" t="s">
        <v>71</v>
      </c>
      <c r="I254" t="s">
        <v>42</v>
      </c>
      <c r="J254" t="s">
        <v>26</v>
      </c>
      <c r="K254" t="s">
        <v>36</v>
      </c>
      <c r="L254">
        <v>918.48</v>
      </c>
      <c r="M254">
        <v>2</v>
      </c>
      <c r="N254" s="2">
        <v>0</v>
      </c>
      <c r="O254">
        <v>1836.96</v>
      </c>
      <c r="P254">
        <v>0</v>
      </c>
      <c r="Q254">
        <f>Sheet1__3_1_1_1[[#This Row],[Gross_Revenue]]-Sheet1__3_1_1_1[[#This Row],[Discount_Amount]]</f>
        <v>1836.96</v>
      </c>
      <c r="R254">
        <v>1138.92</v>
      </c>
      <c r="S254">
        <f>Sheet1__3_1_1_1[[#This Row],[Net_Revenue]]-Sheet1__3_1_1_1[[#This Row],[COGS]]</f>
        <v>698.04</v>
      </c>
    </row>
    <row r="255" spans="1:19" x14ac:dyDescent="0.25">
      <c r="A255" t="s">
        <v>350</v>
      </c>
      <c r="B255" s="1">
        <v>44674</v>
      </c>
      <c r="C255" t="s">
        <v>19</v>
      </c>
      <c r="D255" t="s">
        <v>91</v>
      </c>
      <c r="E255" t="s">
        <v>21</v>
      </c>
      <c r="F255" t="s">
        <v>31</v>
      </c>
      <c r="G255" t="s">
        <v>166</v>
      </c>
      <c r="H255" t="s">
        <v>87</v>
      </c>
      <c r="I255" t="s">
        <v>48</v>
      </c>
      <c r="J255" t="s">
        <v>94</v>
      </c>
      <c r="K255" t="s">
        <v>143</v>
      </c>
      <c r="L255">
        <v>329.07</v>
      </c>
      <c r="M255">
        <v>7</v>
      </c>
      <c r="N255" s="2">
        <v>0.05</v>
      </c>
      <c r="O255">
        <v>2303.4899999999998</v>
      </c>
      <c r="P255">
        <v>115.17449999999999</v>
      </c>
      <c r="Q255">
        <f>Sheet1__3_1_1_1[[#This Row],[Gross_Revenue]]-Sheet1__3_1_1_1[[#This Row],[Discount_Amount]]</f>
        <v>2188.3154999999997</v>
      </c>
      <c r="R255">
        <v>1050.3900000000001</v>
      </c>
      <c r="S255">
        <f>Sheet1__3_1_1_1[[#This Row],[Net_Revenue]]-Sheet1__3_1_1_1[[#This Row],[COGS]]</f>
        <v>1137.9254999999996</v>
      </c>
    </row>
    <row r="256" spans="1:19" x14ac:dyDescent="0.25">
      <c r="A256" t="s">
        <v>351</v>
      </c>
      <c r="B256" s="1">
        <v>44938</v>
      </c>
      <c r="C256" t="s">
        <v>44</v>
      </c>
      <c r="D256" t="s">
        <v>65</v>
      </c>
      <c r="E256" t="s">
        <v>21</v>
      </c>
      <c r="F256" t="s">
        <v>31</v>
      </c>
      <c r="G256" t="s">
        <v>32</v>
      </c>
      <c r="H256" t="s">
        <v>108</v>
      </c>
      <c r="I256" t="s">
        <v>60</v>
      </c>
      <c r="J256" t="s">
        <v>94</v>
      </c>
      <c r="K256" t="s">
        <v>143</v>
      </c>
      <c r="L256">
        <v>386.21</v>
      </c>
      <c r="M256">
        <v>8</v>
      </c>
      <c r="N256" s="2">
        <v>0.2</v>
      </c>
      <c r="O256">
        <v>3089.68</v>
      </c>
      <c r="P256">
        <v>617.93600000000004</v>
      </c>
      <c r="Q256">
        <f>Sheet1__3_1_1_1[[#This Row],[Gross_Revenue]]-Sheet1__3_1_1_1[[#This Row],[Discount_Amount]]</f>
        <v>2471.7439999999997</v>
      </c>
      <c r="R256">
        <v>1186.44</v>
      </c>
      <c r="S256">
        <f>Sheet1__3_1_1_1[[#This Row],[Net_Revenue]]-Sheet1__3_1_1_1[[#This Row],[COGS]]</f>
        <v>1285.3039999999996</v>
      </c>
    </row>
    <row r="257" spans="1:19" x14ac:dyDescent="0.25">
      <c r="A257" t="s">
        <v>352</v>
      </c>
      <c r="B257" s="1">
        <v>44757</v>
      </c>
      <c r="C257" t="s">
        <v>19</v>
      </c>
      <c r="D257" t="s">
        <v>91</v>
      </c>
      <c r="E257" t="s">
        <v>39</v>
      </c>
      <c r="F257" t="s">
        <v>55</v>
      </c>
      <c r="G257" t="s">
        <v>83</v>
      </c>
      <c r="H257" t="s">
        <v>52</v>
      </c>
      <c r="I257" t="s">
        <v>48</v>
      </c>
      <c r="J257" t="s">
        <v>49</v>
      </c>
      <c r="K257" t="s">
        <v>53</v>
      </c>
      <c r="L257" t="s">
        <v>1147</v>
      </c>
      <c r="M257">
        <v>3</v>
      </c>
      <c r="N257" s="2">
        <v>0.05</v>
      </c>
      <c r="O257">
        <v>0</v>
      </c>
      <c r="P257">
        <v>0</v>
      </c>
      <c r="Q257">
        <f>Sheet1__3_1_1_1[[#This Row],[Gross_Revenue]]-Sheet1__3_1_1_1[[#This Row],[Discount_Amount]]</f>
        <v>0</v>
      </c>
      <c r="R257" t="s">
        <v>1147</v>
      </c>
      <c r="S257" t="e">
        <f>Sheet1__3_1_1_1[[#This Row],[Net_Revenue]]-Sheet1__3_1_1_1[[#This Row],[COGS]]</f>
        <v>#VALUE!</v>
      </c>
    </row>
    <row r="258" spans="1:19" x14ac:dyDescent="0.25">
      <c r="A258" t="s">
        <v>353</v>
      </c>
      <c r="B258" s="1">
        <v>44651</v>
      </c>
      <c r="C258" t="s">
        <v>99</v>
      </c>
      <c r="D258" t="s">
        <v>100</v>
      </c>
      <c r="E258" t="s">
        <v>39</v>
      </c>
      <c r="F258" t="s">
        <v>55</v>
      </c>
      <c r="G258" t="s">
        <v>103</v>
      </c>
      <c r="H258" t="s">
        <v>108</v>
      </c>
      <c r="I258" t="s">
        <v>42</v>
      </c>
      <c r="J258" t="s">
        <v>35</v>
      </c>
      <c r="K258" t="s">
        <v>143</v>
      </c>
      <c r="L258">
        <v>182.63</v>
      </c>
      <c r="M258">
        <v>7</v>
      </c>
      <c r="N258" s="2">
        <v>0</v>
      </c>
      <c r="O258">
        <v>1278.4099999999999</v>
      </c>
      <c r="P258">
        <v>0</v>
      </c>
      <c r="Q258">
        <f>Sheet1__3_1_1_1[[#This Row],[Gross_Revenue]]-Sheet1__3_1_1_1[[#This Row],[Discount_Amount]]</f>
        <v>1278.4099999999999</v>
      </c>
      <c r="R258">
        <v>536.92999999999995</v>
      </c>
      <c r="S258">
        <f>Sheet1__3_1_1_1[[#This Row],[Net_Revenue]]-Sheet1__3_1_1_1[[#This Row],[COGS]]</f>
        <v>741.4799999999999</v>
      </c>
    </row>
    <row r="259" spans="1:19" x14ac:dyDescent="0.25">
      <c r="A259" t="s">
        <v>354</v>
      </c>
      <c r="B259" s="1">
        <v>45093</v>
      </c>
      <c r="C259" t="s">
        <v>77</v>
      </c>
      <c r="D259" t="s">
        <v>78</v>
      </c>
      <c r="E259" t="s">
        <v>39</v>
      </c>
      <c r="F259" t="s">
        <v>22</v>
      </c>
      <c r="G259" t="s">
        <v>113</v>
      </c>
      <c r="H259" t="s">
        <v>52</v>
      </c>
      <c r="I259" t="s">
        <v>25</v>
      </c>
      <c r="J259" t="s">
        <v>94</v>
      </c>
      <c r="K259" t="s">
        <v>143</v>
      </c>
      <c r="L259">
        <v>13.71</v>
      </c>
      <c r="M259">
        <v>14</v>
      </c>
      <c r="N259" s="2">
        <v>0.2</v>
      </c>
      <c r="O259">
        <v>191.94</v>
      </c>
      <c r="P259">
        <v>38.388000000000005</v>
      </c>
      <c r="Q259">
        <f>Sheet1__3_1_1_1[[#This Row],[Gross_Revenue]]-Sheet1__3_1_1_1[[#This Row],[Discount_Amount]]</f>
        <v>153.55199999999999</v>
      </c>
      <c r="R259">
        <v>84.45</v>
      </c>
      <c r="S259">
        <f>Sheet1__3_1_1_1[[#This Row],[Net_Revenue]]-Sheet1__3_1_1_1[[#This Row],[COGS]]</f>
        <v>69.10199999999999</v>
      </c>
    </row>
    <row r="260" spans="1:19" x14ac:dyDescent="0.25">
      <c r="A260" t="s">
        <v>355</v>
      </c>
      <c r="B260" s="1">
        <v>44917</v>
      </c>
      <c r="C260" t="s">
        <v>19</v>
      </c>
      <c r="D260" t="s">
        <v>91</v>
      </c>
      <c r="E260" t="s">
        <v>21</v>
      </c>
      <c r="F260" t="s">
        <v>22</v>
      </c>
      <c r="G260" t="s">
        <v>23</v>
      </c>
      <c r="H260" t="s">
        <v>108</v>
      </c>
      <c r="I260" t="s">
        <v>25</v>
      </c>
      <c r="J260" t="s">
        <v>89</v>
      </c>
      <c r="K260" t="s">
        <v>36</v>
      </c>
      <c r="L260">
        <v>13.8</v>
      </c>
      <c r="M260">
        <v>17</v>
      </c>
      <c r="N260" s="2">
        <v>0</v>
      </c>
      <c r="O260">
        <v>234.60000000000002</v>
      </c>
      <c r="P260">
        <v>0</v>
      </c>
      <c r="Q260">
        <f>Sheet1__3_1_1_1[[#This Row],[Gross_Revenue]]-Sheet1__3_1_1_1[[#This Row],[Discount_Amount]]</f>
        <v>234.60000000000002</v>
      </c>
      <c r="R260">
        <v>129.03</v>
      </c>
      <c r="S260">
        <f>Sheet1__3_1_1_1[[#This Row],[Net_Revenue]]-Sheet1__3_1_1_1[[#This Row],[COGS]]</f>
        <v>105.57000000000002</v>
      </c>
    </row>
    <row r="261" spans="1:19" x14ac:dyDescent="0.25">
      <c r="A261" t="s">
        <v>356</v>
      </c>
      <c r="B261" s="1">
        <v>44706</v>
      </c>
      <c r="C261" t="s">
        <v>99</v>
      </c>
      <c r="D261" t="s">
        <v>132</v>
      </c>
      <c r="E261" t="s">
        <v>63</v>
      </c>
      <c r="F261" t="s">
        <v>79</v>
      </c>
      <c r="G261" t="s">
        <v>80</v>
      </c>
      <c r="H261" t="s">
        <v>33</v>
      </c>
      <c r="I261" t="s">
        <v>48</v>
      </c>
      <c r="J261" t="s">
        <v>35</v>
      </c>
      <c r="K261" t="s">
        <v>36</v>
      </c>
      <c r="L261">
        <v>612.29999999999995</v>
      </c>
      <c r="M261">
        <v>8</v>
      </c>
      <c r="N261" s="2">
        <v>0</v>
      </c>
      <c r="O261">
        <v>4898.3999999999996</v>
      </c>
      <c r="P261">
        <v>0</v>
      </c>
      <c r="Q261">
        <f>Sheet1__3_1_1_1[[#This Row],[Gross_Revenue]]-Sheet1__3_1_1_1[[#This Row],[Discount_Amount]]</f>
        <v>4898.3999999999996</v>
      </c>
      <c r="R261">
        <v>3037.01</v>
      </c>
      <c r="S261">
        <f>Sheet1__3_1_1_1[[#This Row],[Net_Revenue]]-Sheet1__3_1_1_1[[#This Row],[COGS]]</f>
        <v>1861.3899999999994</v>
      </c>
    </row>
    <row r="262" spans="1:19" x14ac:dyDescent="0.25">
      <c r="A262" t="s">
        <v>357</v>
      </c>
      <c r="B262" s="1">
        <v>44872</v>
      </c>
      <c r="C262" t="s">
        <v>44</v>
      </c>
      <c r="D262" t="s">
        <v>51</v>
      </c>
      <c r="E262" t="s">
        <v>63</v>
      </c>
      <c r="F262" t="s">
        <v>69</v>
      </c>
      <c r="G262" t="s">
        <v>70</v>
      </c>
      <c r="H262" t="s">
        <v>71</v>
      </c>
      <c r="I262" t="s">
        <v>34</v>
      </c>
      <c r="J262" t="s">
        <v>35</v>
      </c>
      <c r="K262" t="s">
        <v>36</v>
      </c>
      <c r="L262">
        <v>296.42</v>
      </c>
      <c r="M262">
        <v>27</v>
      </c>
      <c r="N262" s="2">
        <v>0</v>
      </c>
      <c r="O262">
        <v>8003.34</v>
      </c>
      <c r="P262">
        <v>0</v>
      </c>
      <c r="Q262">
        <f>Sheet1__3_1_1_1[[#This Row],[Gross_Revenue]]-Sheet1__3_1_1_1[[#This Row],[Discount_Amount]]</f>
        <v>8003.34</v>
      </c>
      <c r="R262">
        <v>3041.27</v>
      </c>
      <c r="S262">
        <f>Sheet1__3_1_1_1[[#This Row],[Net_Revenue]]-Sheet1__3_1_1_1[[#This Row],[COGS]]</f>
        <v>4962.07</v>
      </c>
    </row>
    <row r="263" spans="1:19" x14ac:dyDescent="0.25">
      <c r="A263" t="s">
        <v>358</v>
      </c>
      <c r="B263" s="1">
        <v>44784</v>
      </c>
      <c r="C263" t="s">
        <v>77</v>
      </c>
      <c r="D263" t="s">
        <v>78</v>
      </c>
      <c r="E263" t="s">
        <v>21</v>
      </c>
      <c r="F263" t="s">
        <v>22</v>
      </c>
      <c r="G263" t="s">
        <v>149</v>
      </c>
      <c r="H263" t="s">
        <v>41</v>
      </c>
      <c r="I263" t="s">
        <v>34</v>
      </c>
      <c r="J263" t="s">
        <v>49</v>
      </c>
      <c r="K263" t="s">
        <v>27</v>
      </c>
      <c r="L263">
        <v>22.31</v>
      </c>
      <c r="M263">
        <v>6</v>
      </c>
      <c r="N263" s="2">
        <v>0</v>
      </c>
      <c r="O263">
        <v>133.85999999999999</v>
      </c>
      <c r="P263">
        <v>0</v>
      </c>
      <c r="Q263">
        <f>Sheet1__3_1_1_1[[#This Row],[Gross_Revenue]]-Sheet1__3_1_1_1[[#This Row],[Discount_Amount]]</f>
        <v>133.85999999999999</v>
      </c>
      <c r="R263">
        <v>73.62</v>
      </c>
      <c r="S263">
        <f>Sheet1__3_1_1_1[[#This Row],[Net_Revenue]]-Sheet1__3_1_1_1[[#This Row],[COGS]]</f>
        <v>60.239999999999981</v>
      </c>
    </row>
    <row r="264" spans="1:19" x14ac:dyDescent="0.25">
      <c r="A264" t="s">
        <v>359</v>
      </c>
      <c r="B264" s="1">
        <v>44584</v>
      </c>
      <c r="C264" t="s">
        <v>99</v>
      </c>
      <c r="D264" t="s">
        <v>132</v>
      </c>
      <c r="E264" t="s">
        <v>39</v>
      </c>
      <c r="F264" t="s">
        <v>69</v>
      </c>
      <c r="G264" t="s">
        <v>190</v>
      </c>
      <c r="H264" t="s">
        <v>108</v>
      </c>
      <c r="I264" t="s">
        <v>60</v>
      </c>
      <c r="J264" t="s">
        <v>35</v>
      </c>
      <c r="K264" t="s">
        <v>36</v>
      </c>
      <c r="L264">
        <v>16.940000000000001</v>
      </c>
      <c r="M264">
        <v>12</v>
      </c>
      <c r="N264" s="2">
        <v>0</v>
      </c>
      <c r="O264">
        <v>203.28000000000003</v>
      </c>
      <c r="P264">
        <v>0</v>
      </c>
      <c r="Q264">
        <f>Sheet1__3_1_1_1[[#This Row],[Gross_Revenue]]-Sheet1__3_1_1_1[[#This Row],[Discount_Amount]]</f>
        <v>203.28000000000003</v>
      </c>
      <c r="R264">
        <v>77.25</v>
      </c>
      <c r="S264">
        <f>Sheet1__3_1_1_1[[#This Row],[Net_Revenue]]-Sheet1__3_1_1_1[[#This Row],[COGS]]</f>
        <v>126.03000000000003</v>
      </c>
    </row>
    <row r="265" spans="1:19" x14ac:dyDescent="0.25">
      <c r="A265" t="s">
        <v>360</v>
      </c>
      <c r="B265" s="1">
        <v>45216</v>
      </c>
      <c r="C265" t="s">
        <v>99</v>
      </c>
      <c r="D265" t="s">
        <v>100</v>
      </c>
      <c r="E265" t="s">
        <v>21</v>
      </c>
      <c r="F265" t="s">
        <v>31</v>
      </c>
      <c r="G265" t="s">
        <v>166</v>
      </c>
      <c r="H265" t="s">
        <v>33</v>
      </c>
      <c r="I265" t="s">
        <v>60</v>
      </c>
      <c r="J265" t="s">
        <v>35</v>
      </c>
      <c r="K265" t="s">
        <v>53</v>
      </c>
      <c r="L265">
        <v>340.14</v>
      </c>
      <c r="M265">
        <v>7</v>
      </c>
      <c r="N265" s="2">
        <v>0</v>
      </c>
      <c r="O265">
        <v>2380.98</v>
      </c>
      <c r="P265">
        <v>0</v>
      </c>
      <c r="Q265">
        <f>Sheet1__3_1_1_1[[#This Row],[Gross_Revenue]]-Sheet1__3_1_1_1[[#This Row],[Discount_Amount]]</f>
        <v>2380.98</v>
      </c>
      <c r="R265">
        <v>1142.8699999999999</v>
      </c>
      <c r="S265">
        <f>Sheet1__3_1_1_1[[#This Row],[Net_Revenue]]-Sheet1__3_1_1_1[[#This Row],[COGS]]</f>
        <v>1238.1100000000001</v>
      </c>
    </row>
    <row r="266" spans="1:19" x14ac:dyDescent="0.25">
      <c r="A266" t="s">
        <v>361</v>
      </c>
      <c r="B266" s="1">
        <v>44994</v>
      </c>
      <c r="C266" t="s">
        <v>29</v>
      </c>
      <c r="D266" t="s">
        <v>62</v>
      </c>
      <c r="E266" t="s">
        <v>63</v>
      </c>
      <c r="F266" t="s">
        <v>79</v>
      </c>
      <c r="G266" t="s">
        <v>85</v>
      </c>
      <c r="H266" t="s">
        <v>106</v>
      </c>
      <c r="I266" t="s">
        <v>60</v>
      </c>
      <c r="J266" t="s">
        <v>49</v>
      </c>
      <c r="K266" t="s">
        <v>143</v>
      </c>
      <c r="L266">
        <v>790.47</v>
      </c>
      <c r="M266">
        <v>3</v>
      </c>
      <c r="N266" s="2">
        <v>0</v>
      </c>
      <c r="O266">
        <v>2371.41</v>
      </c>
      <c r="P266">
        <v>0</v>
      </c>
      <c r="Q266">
        <f>Sheet1__3_1_1_1[[#This Row],[Gross_Revenue]]-Sheet1__3_1_1_1[[#This Row],[Discount_Amount]]</f>
        <v>2371.41</v>
      </c>
      <c r="R266">
        <v>1470.27</v>
      </c>
      <c r="S266">
        <f>Sheet1__3_1_1_1[[#This Row],[Net_Revenue]]-Sheet1__3_1_1_1[[#This Row],[COGS]]</f>
        <v>901.13999999999987</v>
      </c>
    </row>
    <row r="267" spans="1:19" x14ac:dyDescent="0.25">
      <c r="A267" t="s">
        <v>362</v>
      </c>
      <c r="B267" s="1">
        <v>45173</v>
      </c>
      <c r="C267" t="s">
        <v>99</v>
      </c>
      <c r="D267" t="s">
        <v>132</v>
      </c>
      <c r="E267" t="s">
        <v>66</v>
      </c>
      <c r="F267" t="s">
        <v>22</v>
      </c>
      <c r="G267" t="s">
        <v>75</v>
      </c>
      <c r="H267" t="s">
        <v>57</v>
      </c>
      <c r="I267" t="s">
        <v>42</v>
      </c>
      <c r="J267" t="s">
        <v>26</v>
      </c>
      <c r="K267" t="s">
        <v>36</v>
      </c>
      <c r="L267">
        <v>12.09</v>
      </c>
      <c r="M267">
        <v>30</v>
      </c>
      <c r="N267" s="2">
        <v>0</v>
      </c>
      <c r="O267">
        <v>362.7</v>
      </c>
      <c r="P267">
        <v>0</v>
      </c>
      <c r="Q267">
        <f>Sheet1__3_1_1_1[[#This Row],[Gross_Revenue]]-Sheet1__3_1_1_1[[#This Row],[Discount_Amount]]</f>
        <v>362.7</v>
      </c>
      <c r="R267">
        <v>199.49</v>
      </c>
      <c r="S267">
        <f>Sheet1__3_1_1_1[[#This Row],[Net_Revenue]]-Sheet1__3_1_1_1[[#This Row],[COGS]]</f>
        <v>163.20999999999998</v>
      </c>
    </row>
    <row r="268" spans="1:19" x14ac:dyDescent="0.25">
      <c r="A268" t="s">
        <v>363</v>
      </c>
      <c r="B268" s="1">
        <v>44648</v>
      </c>
      <c r="C268" t="s">
        <v>44</v>
      </c>
      <c r="D268" t="s">
        <v>51</v>
      </c>
      <c r="E268" t="s">
        <v>21</v>
      </c>
      <c r="F268" t="s">
        <v>69</v>
      </c>
      <c r="G268" t="s">
        <v>70</v>
      </c>
      <c r="H268" t="s">
        <v>33</v>
      </c>
      <c r="I268" t="s">
        <v>34</v>
      </c>
      <c r="J268" t="s">
        <v>94</v>
      </c>
      <c r="K268" t="s">
        <v>36</v>
      </c>
      <c r="L268">
        <v>327.94</v>
      </c>
      <c r="M268">
        <v>14</v>
      </c>
      <c r="N268" s="2">
        <v>0</v>
      </c>
      <c r="O268">
        <v>4591.16</v>
      </c>
      <c r="P268">
        <v>0</v>
      </c>
      <c r="Q268">
        <f>Sheet1__3_1_1_1[[#This Row],[Gross_Revenue]]-Sheet1__3_1_1_1[[#This Row],[Discount_Amount]]</f>
        <v>4591.16</v>
      </c>
      <c r="R268">
        <v>1744.64</v>
      </c>
      <c r="S268">
        <f>Sheet1__3_1_1_1[[#This Row],[Net_Revenue]]-Sheet1__3_1_1_1[[#This Row],[COGS]]</f>
        <v>2846.5199999999995</v>
      </c>
    </row>
    <row r="269" spans="1:19" x14ac:dyDescent="0.25">
      <c r="A269" t="s">
        <v>364</v>
      </c>
      <c r="B269" s="1">
        <v>44582</v>
      </c>
      <c r="C269" t="s">
        <v>77</v>
      </c>
      <c r="D269" t="s">
        <v>110</v>
      </c>
      <c r="E269" t="s">
        <v>21</v>
      </c>
      <c r="F269" t="s">
        <v>31</v>
      </c>
      <c r="G269" t="s">
        <v>32</v>
      </c>
      <c r="H269" t="s">
        <v>71</v>
      </c>
      <c r="I269" t="s">
        <v>48</v>
      </c>
      <c r="J269" t="s">
        <v>94</v>
      </c>
      <c r="K269" t="s">
        <v>36</v>
      </c>
      <c r="L269">
        <v>324.2</v>
      </c>
      <c r="M269">
        <v>7</v>
      </c>
      <c r="N269" s="2">
        <v>0.05</v>
      </c>
      <c r="O269">
        <v>2269.4</v>
      </c>
      <c r="P269">
        <v>113.47000000000001</v>
      </c>
      <c r="Q269">
        <f>Sheet1__3_1_1_1[[#This Row],[Gross_Revenue]]-Sheet1__3_1_1_1[[#This Row],[Discount_Amount]]</f>
        <v>2155.9300000000003</v>
      </c>
      <c r="R269">
        <v>1034.8499999999999</v>
      </c>
      <c r="S269">
        <f>Sheet1__3_1_1_1[[#This Row],[Net_Revenue]]-Sheet1__3_1_1_1[[#This Row],[COGS]]</f>
        <v>1121.0800000000004</v>
      </c>
    </row>
    <row r="270" spans="1:19" x14ac:dyDescent="0.25">
      <c r="A270" t="s">
        <v>365</v>
      </c>
      <c r="B270" s="1">
        <v>45056</v>
      </c>
      <c r="C270" t="s">
        <v>77</v>
      </c>
      <c r="D270" t="s">
        <v>78</v>
      </c>
      <c r="E270" t="s">
        <v>66</v>
      </c>
      <c r="F270" t="s">
        <v>69</v>
      </c>
      <c r="G270" t="s">
        <v>73</v>
      </c>
      <c r="H270" t="s">
        <v>106</v>
      </c>
      <c r="I270" t="s">
        <v>48</v>
      </c>
      <c r="J270" t="s">
        <v>49</v>
      </c>
      <c r="K270" t="s">
        <v>36</v>
      </c>
      <c r="L270">
        <v>14.5</v>
      </c>
      <c r="M270">
        <v>15</v>
      </c>
      <c r="N270" s="2">
        <v>0.2</v>
      </c>
      <c r="O270">
        <v>217.5</v>
      </c>
      <c r="P270">
        <v>43.5</v>
      </c>
      <c r="Q270">
        <f>Sheet1__3_1_1_1[[#This Row],[Gross_Revenue]]-Sheet1__3_1_1_1[[#This Row],[Discount_Amount]]</f>
        <v>174</v>
      </c>
      <c r="R270">
        <v>66.12</v>
      </c>
      <c r="S270">
        <f>Sheet1__3_1_1_1[[#This Row],[Net_Revenue]]-Sheet1__3_1_1_1[[#This Row],[COGS]]</f>
        <v>107.88</v>
      </c>
    </row>
    <row r="271" spans="1:19" x14ac:dyDescent="0.25">
      <c r="A271" t="s">
        <v>366</v>
      </c>
      <c r="B271" s="1">
        <v>44904</v>
      </c>
      <c r="C271" t="s">
        <v>19</v>
      </c>
      <c r="D271" t="s">
        <v>130</v>
      </c>
      <c r="E271" t="s">
        <v>39</v>
      </c>
      <c r="F271" t="s">
        <v>55</v>
      </c>
      <c r="G271" t="s">
        <v>83</v>
      </c>
      <c r="H271" t="s">
        <v>59</v>
      </c>
      <c r="I271" t="s">
        <v>48</v>
      </c>
      <c r="J271" t="s">
        <v>49</v>
      </c>
      <c r="K271" t="s">
        <v>143</v>
      </c>
      <c r="L271">
        <v>47.94</v>
      </c>
      <c r="M271">
        <v>1</v>
      </c>
      <c r="N271" s="2">
        <v>0</v>
      </c>
      <c r="O271">
        <v>47.94</v>
      </c>
      <c r="P271">
        <v>0</v>
      </c>
      <c r="Q271">
        <f>Sheet1__3_1_1_1[[#This Row],[Gross_Revenue]]-Sheet1__3_1_1_1[[#This Row],[Discount_Amount]]</f>
        <v>47.94</v>
      </c>
      <c r="R271">
        <v>20.13</v>
      </c>
      <c r="S271">
        <f>Sheet1__3_1_1_1[[#This Row],[Net_Revenue]]-Sheet1__3_1_1_1[[#This Row],[COGS]]</f>
        <v>27.81</v>
      </c>
    </row>
    <row r="272" spans="1:19" x14ac:dyDescent="0.25">
      <c r="A272" t="s">
        <v>367</v>
      </c>
      <c r="B272" s="1">
        <v>44571</v>
      </c>
      <c r="C272" t="s">
        <v>77</v>
      </c>
      <c r="D272" t="s">
        <v>78</v>
      </c>
      <c r="E272" t="s">
        <v>39</v>
      </c>
      <c r="F272" t="s">
        <v>22</v>
      </c>
      <c r="G272" t="s">
        <v>23</v>
      </c>
      <c r="H272" t="s">
        <v>111</v>
      </c>
      <c r="I272" t="s">
        <v>48</v>
      </c>
      <c r="J272" t="s">
        <v>26</v>
      </c>
      <c r="K272" t="s">
        <v>36</v>
      </c>
      <c r="L272">
        <v>18.04</v>
      </c>
      <c r="M272">
        <v>14</v>
      </c>
      <c r="N272" s="2">
        <v>0.05</v>
      </c>
      <c r="O272">
        <v>252.56</v>
      </c>
      <c r="P272">
        <v>12.628</v>
      </c>
      <c r="Q272">
        <f>Sheet1__3_1_1_1[[#This Row],[Gross_Revenue]]-Sheet1__3_1_1_1[[#This Row],[Discount_Amount]]</f>
        <v>239.93200000000002</v>
      </c>
      <c r="R272">
        <v>131.96</v>
      </c>
      <c r="S272">
        <f>Sheet1__3_1_1_1[[#This Row],[Net_Revenue]]-Sheet1__3_1_1_1[[#This Row],[COGS]]</f>
        <v>107.97200000000001</v>
      </c>
    </row>
    <row r="273" spans="1:19" x14ac:dyDescent="0.25">
      <c r="A273" t="s">
        <v>368</v>
      </c>
      <c r="B273" s="1">
        <v>44587</v>
      </c>
      <c r="C273" t="s">
        <v>99</v>
      </c>
      <c r="D273" t="s">
        <v>148</v>
      </c>
      <c r="E273" t="s">
        <v>66</v>
      </c>
      <c r="F273" t="s">
        <v>69</v>
      </c>
      <c r="G273" t="s">
        <v>126</v>
      </c>
      <c r="H273" t="s">
        <v>59</v>
      </c>
      <c r="I273" t="s">
        <v>60</v>
      </c>
      <c r="J273" t="s">
        <v>26</v>
      </c>
      <c r="K273" t="s">
        <v>36</v>
      </c>
      <c r="L273">
        <v>28.51</v>
      </c>
      <c r="M273">
        <v>26</v>
      </c>
      <c r="N273" s="2">
        <v>0.2</v>
      </c>
      <c r="O273">
        <v>741.26</v>
      </c>
      <c r="P273">
        <v>148.25200000000001</v>
      </c>
      <c r="Q273">
        <f>Sheet1__3_1_1_1[[#This Row],[Gross_Revenue]]-Sheet1__3_1_1_1[[#This Row],[Discount_Amount]]</f>
        <v>593.00800000000004</v>
      </c>
      <c r="R273">
        <v>225.34</v>
      </c>
      <c r="S273">
        <f>Sheet1__3_1_1_1[[#This Row],[Net_Revenue]]-Sheet1__3_1_1_1[[#This Row],[COGS]]</f>
        <v>367.66800000000001</v>
      </c>
    </row>
    <row r="274" spans="1:19" x14ac:dyDescent="0.25">
      <c r="A274" t="s">
        <v>369</v>
      </c>
      <c r="B274" s="1">
        <v>44964</v>
      </c>
      <c r="C274" t="s">
        <v>99</v>
      </c>
      <c r="D274" t="s">
        <v>100</v>
      </c>
      <c r="E274" t="s">
        <v>39</v>
      </c>
      <c r="F274" t="s">
        <v>69</v>
      </c>
      <c r="G274" t="s">
        <v>70</v>
      </c>
      <c r="H274" t="s">
        <v>87</v>
      </c>
      <c r="I274" t="s">
        <v>34</v>
      </c>
      <c r="J274" t="s">
        <v>35</v>
      </c>
      <c r="K274" t="s">
        <v>143</v>
      </c>
      <c r="L274">
        <v>291.93</v>
      </c>
      <c r="N274" s="2">
        <v>0.2</v>
      </c>
      <c r="O274">
        <v>0</v>
      </c>
      <c r="P274">
        <v>0</v>
      </c>
      <c r="Q274">
        <f>Sheet1__3_1_1_1[[#This Row],[Gross_Revenue]]-Sheet1__3_1_1_1[[#This Row],[Discount_Amount]]</f>
        <v>0</v>
      </c>
      <c r="R274" t="s">
        <v>1147</v>
      </c>
      <c r="S274" t="e">
        <f>Sheet1__3_1_1_1[[#This Row],[Net_Revenue]]-Sheet1__3_1_1_1[[#This Row],[COGS]]</f>
        <v>#VALUE!</v>
      </c>
    </row>
    <row r="275" spans="1:19" x14ac:dyDescent="0.25">
      <c r="A275" t="s">
        <v>370</v>
      </c>
      <c r="B275" s="1">
        <v>44931</v>
      </c>
      <c r="C275" t="s">
        <v>77</v>
      </c>
      <c r="D275" t="s">
        <v>82</v>
      </c>
      <c r="E275" t="s">
        <v>39</v>
      </c>
      <c r="F275" t="s">
        <v>31</v>
      </c>
      <c r="G275" t="s">
        <v>166</v>
      </c>
      <c r="H275" t="s">
        <v>106</v>
      </c>
      <c r="I275" t="s">
        <v>34</v>
      </c>
      <c r="J275" t="s">
        <v>49</v>
      </c>
      <c r="K275" t="s">
        <v>36</v>
      </c>
      <c r="L275">
        <v>349.57</v>
      </c>
      <c r="M275">
        <v>8</v>
      </c>
      <c r="N275" s="2">
        <v>0</v>
      </c>
      <c r="O275">
        <v>2796.56</v>
      </c>
      <c r="P275">
        <v>0</v>
      </c>
      <c r="Q275">
        <f>Sheet1__3_1_1_1[[#This Row],[Gross_Revenue]]-Sheet1__3_1_1_1[[#This Row],[Discount_Amount]]</f>
        <v>2796.56</v>
      </c>
      <c r="R275">
        <v>1342.35</v>
      </c>
      <c r="S275">
        <f>Sheet1__3_1_1_1[[#This Row],[Net_Revenue]]-Sheet1__3_1_1_1[[#This Row],[COGS]]</f>
        <v>1454.21</v>
      </c>
    </row>
    <row r="276" spans="1:19" x14ac:dyDescent="0.25">
      <c r="A276" t="s">
        <v>371</v>
      </c>
      <c r="B276" s="1">
        <v>45026</v>
      </c>
      <c r="C276" t="s">
        <v>77</v>
      </c>
      <c r="D276" t="s">
        <v>82</v>
      </c>
      <c r="E276" t="s">
        <v>66</v>
      </c>
      <c r="F276" t="s">
        <v>79</v>
      </c>
      <c r="G276" t="s">
        <v>56</v>
      </c>
      <c r="H276" t="s">
        <v>24</v>
      </c>
      <c r="I276" t="s">
        <v>42</v>
      </c>
      <c r="J276" t="s">
        <v>94</v>
      </c>
      <c r="K276" t="s">
        <v>53</v>
      </c>
      <c r="L276">
        <v>43.33</v>
      </c>
      <c r="M276">
        <v>6</v>
      </c>
      <c r="N276" s="2">
        <v>0.1</v>
      </c>
      <c r="O276">
        <v>259.98</v>
      </c>
      <c r="P276">
        <v>25.998000000000005</v>
      </c>
      <c r="Q276">
        <f>Sheet1__3_1_1_1[[#This Row],[Gross_Revenue]]-Sheet1__3_1_1_1[[#This Row],[Discount_Amount]]</f>
        <v>233.98200000000003</v>
      </c>
      <c r="R276">
        <v>145.07</v>
      </c>
      <c r="S276">
        <f>Sheet1__3_1_1_1[[#This Row],[Net_Revenue]]-Sheet1__3_1_1_1[[#This Row],[COGS]]</f>
        <v>88.912000000000035</v>
      </c>
    </row>
    <row r="277" spans="1:19" x14ac:dyDescent="0.25">
      <c r="A277" t="s">
        <v>372</v>
      </c>
      <c r="B277" s="1">
        <v>44606</v>
      </c>
      <c r="C277" t="s">
        <v>44</v>
      </c>
      <c r="D277" t="s">
        <v>45</v>
      </c>
      <c r="E277" t="s">
        <v>21</v>
      </c>
      <c r="F277" t="s">
        <v>69</v>
      </c>
      <c r="G277" t="s">
        <v>73</v>
      </c>
      <c r="H277" t="s">
        <v>57</v>
      </c>
      <c r="I277" t="s">
        <v>60</v>
      </c>
      <c r="J277" t="s">
        <v>49</v>
      </c>
      <c r="K277" t="s">
        <v>143</v>
      </c>
      <c r="L277">
        <v>11.75</v>
      </c>
      <c r="M277">
        <v>2</v>
      </c>
      <c r="N277" s="2">
        <v>0.15</v>
      </c>
      <c r="O277">
        <v>23.5</v>
      </c>
      <c r="P277">
        <v>3.5249999999999999</v>
      </c>
      <c r="Q277">
        <f>Sheet1__3_1_1_1[[#This Row],[Gross_Revenue]]-Sheet1__3_1_1_1[[#This Row],[Discount_Amount]]</f>
        <v>19.975000000000001</v>
      </c>
      <c r="R277">
        <v>7.59</v>
      </c>
      <c r="S277">
        <f>Sheet1__3_1_1_1[[#This Row],[Net_Revenue]]-Sheet1__3_1_1_1[[#This Row],[COGS]]</f>
        <v>12.385000000000002</v>
      </c>
    </row>
    <row r="278" spans="1:19" x14ac:dyDescent="0.25">
      <c r="A278" t="s">
        <v>373</v>
      </c>
      <c r="B278" s="1">
        <v>45274</v>
      </c>
      <c r="C278" t="s">
        <v>29</v>
      </c>
      <c r="D278" t="s">
        <v>30</v>
      </c>
      <c r="E278" t="s">
        <v>63</v>
      </c>
      <c r="F278" t="s">
        <v>79</v>
      </c>
      <c r="G278" t="s">
        <v>96</v>
      </c>
      <c r="H278" t="s">
        <v>59</v>
      </c>
      <c r="I278" t="s">
        <v>25</v>
      </c>
      <c r="J278" t="s">
        <v>35</v>
      </c>
      <c r="K278" t="s">
        <v>36</v>
      </c>
      <c r="L278">
        <v>479.01</v>
      </c>
      <c r="M278">
        <v>6</v>
      </c>
      <c r="N278" s="2">
        <v>0.05</v>
      </c>
      <c r="O278">
        <v>2874.06</v>
      </c>
      <c r="P278">
        <v>143.703</v>
      </c>
      <c r="Q278">
        <f>Sheet1__3_1_1_1[[#This Row],[Gross_Revenue]]-Sheet1__3_1_1_1[[#This Row],[Discount_Amount]]</f>
        <v>2730.357</v>
      </c>
      <c r="R278">
        <v>1692.82</v>
      </c>
      <c r="S278">
        <f>Sheet1__3_1_1_1[[#This Row],[Net_Revenue]]-Sheet1__3_1_1_1[[#This Row],[COGS]]</f>
        <v>1037.537</v>
      </c>
    </row>
    <row r="279" spans="1:19" x14ac:dyDescent="0.25">
      <c r="A279" t="s">
        <v>374</v>
      </c>
      <c r="B279" s="1">
        <v>45032</v>
      </c>
      <c r="C279" t="s">
        <v>99</v>
      </c>
      <c r="D279" t="s">
        <v>148</v>
      </c>
      <c r="E279" t="s">
        <v>39</v>
      </c>
      <c r="F279" t="s">
        <v>31</v>
      </c>
      <c r="G279" t="s">
        <v>122</v>
      </c>
      <c r="H279" t="s">
        <v>52</v>
      </c>
      <c r="I279" t="s">
        <v>42</v>
      </c>
      <c r="J279" t="s">
        <v>89</v>
      </c>
      <c r="K279" t="s">
        <v>27</v>
      </c>
      <c r="L279">
        <v>466.18</v>
      </c>
      <c r="M279">
        <v>5</v>
      </c>
      <c r="N279" s="2">
        <v>0</v>
      </c>
      <c r="O279">
        <v>2330.9</v>
      </c>
      <c r="P279">
        <v>0</v>
      </c>
      <c r="Q279">
        <f>Sheet1__3_1_1_1[[#This Row],[Gross_Revenue]]-Sheet1__3_1_1_1[[#This Row],[Discount_Amount]]</f>
        <v>2330.9</v>
      </c>
      <c r="R279">
        <v>1118.83</v>
      </c>
      <c r="S279">
        <f>Sheet1__3_1_1_1[[#This Row],[Net_Revenue]]-Sheet1__3_1_1_1[[#This Row],[COGS]]</f>
        <v>1212.0700000000002</v>
      </c>
    </row>
    <row r="280" spans="1:19" x14ac:dyDescent="0.25">
      <c r="A280" t="s">
        <v>375</v>
      </c>
      <c r="B280" s="1">
        <v>45220</v>
      </c>
      <c r="C280" t="s">
        <v>99</v>
      </c>
      <c r="D280" t="s">
        <v>148</v>
      </c>
      <c r="E280" t="s">
        <v>39</v>
      </c>
      <c r="F280" t="s">
        <v>69</v>
      </c>
      <c r="G280" t="s">
        <v>126</v>
      </c>
      <c r="H280" t="s">
        <v>108</v>
      </c>
      <c r="I280" t="s">
        <v>60</v>
      </c>
      <c r="J280" t="s">
        <v>26</v>
      </c>
      <c r="K280" t="s">
        <v>143</v>
      </c>
      <c r="L280">
        <v>25.29</v>
      </c>
      <c r="M280">
        <v>13</v>
      </c>
      <c r="N280" s="2">
        <v>0</v>
      </c>
      <c r="O280">
        <v>328.77</v>
      </c>
      <c r="P280">
        <v>0</v>
      </c>
      <c r="Q280">
        <f>Sheet1__3_1_1_1[[#This Row],[Gross_Revenue]]-Sheet1__3_1_1_1[[#This Row],[Discount_Amount]]</f>
        <v>328.77</v>
      </c>
      <c r="R280">
        <v>124.93</v>
      </c>
      <c r="S280">
        <f>Sheet1__3_1_1_1[[#This Row],[Net_Revenue]]-Sheet1__3_1_1_1[[#This Row],[COGS]]</f>
        <v>203.83999999999997</v>
      </c>
    </row>
    <row r="281" spans="1:19" x14ac:dyDescent="0.25">
      <c r="A281" t="s">
        <v>376</v>
      </c>
      <c r="B281" s="1">
        <v>44605</v>
      </c>
      <c r="C281" t="s">
        <v>77</v>
      </c>
      <c r="D281" t="s">
        <v>82</v>
      </c>
      <c r="E281" t="s">
        <v>39</v>
      </c>
      <c r="F281" t="s">
        <v>55</v>
      </c>
      <c r="G281" t="s">
        <v>83</v>
      </c>
      <c r="H281" t="s">
        <v>41</v>
      </c>
      <c r="I281" t="s">
        <v>48</v>
      </c>
      <c r="J281" t="s">
        <v>94</v>
      </c>
      <c r="K281" t="s">
        <v>27</v>
      </c>
      <c r="L281">
        <v>62.36</v>
      </c>
      <c r="M281">
        <v>7</v>
      </c>
      <c r="N281" s="2">
        <v>0</v>
      </c>
      <c r="O281">
        <v>436.52</v>
      </c>
      <c r="P281">
        <v>0</v>
      </c>
      <c r="Q281">
        <f>Sheet1__3_1_1_1[[#This Row],[Gross_Revenue]]-Sheet1__3_1_1_1[[#This Row],[Discount_Amount]]</f>
        <v>436.52</v>
      </c>
      <c r="R281">
        <v>183.34</v>
      </c>
      <c r="S281">
        <f>Sheet1__3_1_1_1[[#This Row],[Net_Revenue]]-Sheet1__3_1_1_1[[#This Row],[COGS]]</f>
        <v>253.17999999999998</v>
      </c>
    </row>
    <row r="282" spans="1:19" x14ac:dyDescent="0.25">
      <c r="A282" t="s">
        <v>377</v>
      </c>
      <c r="B282" s="1">
        <v>44698</v>
      </c>
      <c r="C282" t="s">
        <v>19</v>
      </c>
      <c r="D282" t="s">
        <v>91</v>
      </c>
      <c r="E282" t="s">
        <v>21</v>
      </c>
      <c r="F282" t="s">
        <v>22</v>
      </c>
      <c r="G282" t="s">
        <v>46</v>
      </c>
      <c r="H282" t="s">
        <v>71</v>
      </c>
      <c r="I282" t="s">
        <v>60</v>
      </c>
      <c r="J282" t="s">
        <v>49</v>
      </c>
      <c r="K282" t="s">
        <v>53</v>
      </c>
      <c r="L282">
        <v>16.61</v>
      </c>
      <c r="M282">
        <v>29</v>
      </c>
      <c r="N282" s="2">
        <v>0.05</v>
      </c>
      <c r="O282">
        <v>481.69</v>
      </c>
      <c r="P282">
        <v>24.084500000000002</v>
      </c>
      <c r="Q282">
        <f>Sheet1__3_1_1_1[[#This Row],[Gross_Revenue]]-Sheet1__3_1_1_1[[#This Row],[Discount_Amount]]</f>
        <v>457.60550000000001</v>
      </c>
      <c r="R282">
        <v>251.69</v>
      </c>
      <c r="S282">
        <f>Sheet1__3_1_1_1[[#This Row],[Net_Revenue]]-Sheet1__3_1_1_1[[#This Row],[COGS]]</f>
        <v>205.91550000000001</v>
      </c>
    </row>
    <row r="283" spans="1:19" x14ac:dyDescent="0.25">
      <c r="A283" t="s">
        <v>378</v>
      </c>
      <c r="B283" s="1">
        <v>45144</v>
      </c>
      <c r="C283" t="s">
        <v>77</v>
      </c>
      <c r="D283" t="s">
        <v>78</v>
      </c>
      <c r="E283" t="s">
        <v>39</v>
      </c>
      <c r="F283" t="s">
        <v>55</v>
      </c>
      <c r="G283" t="s">
        <v>56</v>
      </c>
      <c r="H283" t="s">
        <v>111</v>
      </c>
      <c r="I283" t="s">
        <v>34</v>
      </c>
      <c r="J283" t="s">
        <v>26</v>
      </c>
      <c r="K283" t="s">
        <v>143</v>
      </c>
      <c r="L283">
        <v>44.49</v>
      </c>
      <c r="M283">
        <v>5</v>
      </c>
      <c r="N283" s="2">
        <v>0.05</v>
      </c>
      <c r="O283">
        <v>222.45000000000002</v>
      </c>
      <c r="P283">
        <v>11.122500000000002</v>
      </c>
      <c r="Q283">
        <f>Sheet1__3_1_1_1[[#This Row],[Gross_Revenue]]-Sheet1__3_1_1_1[[#This Row],[Discount_Amount]]</f>
        <v>211.32750000000001</v>
      </c>
      <c r="R283">
        <v>88.76</v>
      </c>
      <c r="S283">
        <f>Sheet1__3_1_1_1[[#This Row],[Net_Revenue]]-Sheet1__3_1_1_1[[#This Row],[COGS]]</f>
        <v>122.56750000000001</v>
      </c>
    </row>
    <row r="284" spans="1:19" x14ac:dyDescent="0.25">
      <c r="A284" t="s">
        <v>379</v>
      </c>
      <c r="B284" s="1">
        <v>44980</v>
      </c>
      <c r="C284" t="s">
        <v>19</v>
      </c>
      <c r="D284" t="s">
        <v>130</v>
      </c>
      <c r="E284" t="s">
        <v>39</v>
      </c>
      <c r="F284" t="s">
        <v>79</v>
      </c>
      <c r="G284" t="s">
        <v>80</v>
      </c>
      <c r="H284" t="s">
        <v>41</v>
      </c>
      <c r="I284" t="s">
        <v>25</v>
      </c>
      <c r="J284" t="s">
        <v>94</v>
      </c>
      <c r="K284" t="s">
        <v>36</v>
      </c>
      <c r="L284">
        <v>705.26</v>
      </c>
      <c r="M284">
        <v>1</v>
      </c>
      <c r="N284" s="2">
        <v>0.05</v>
      </c>
      <c r="O284">
        <v>705.26</v>
      </c>
      <c r="P284">
        <v>35.262999999999998</v>
      </c>
      <c r="Q284">
        <f>Sheet1__3_1_1_1[[#This Row],[Gross_Revenue]]-Sheet1__3_1_1_1[[#This Row],[Discount_Amount]]</f>
        <v>669.99699999999996</v>
      </c>
      <c r="R284">
        <v>415.4</v>
      </c>
      <c r="S284">
        <f>Sheet1__3_1_1_1[[#This Row],[Net_Revenue]]-Sheet1__3_1_1_1[[#This Row],[COGS]]</f>
        <v>254.59699999999998</v>
      </c>
    </row>
    <row r="285" spans="1:19" x14ac:dyDescent="0.25">
      <c r="A285" t="s">
        <v>380</v>
      </c>
      <c r="B285" s="1">
        <v>44713</v>
      </c>
      <c r="C285" t="s">
        <v>77</v>
      </c>
      <c r="D285" t="s">
        <v>78</v>
      </c>
      <c r="E285" t="s">
        <v>63</v>
      </c>
      <c r="F285" t="s">
        <v>31</v>
      </c>
      <c r="G285" t="s">
        <v>40</v>
      </c>
      <c r="H285" t="s">
        <v>24</v>
      </c>
      <c r="I285" t="s">
        <v>42</v>
      </c>
      <c r="J285" t="s">
        <v>94</v>
      </c>
      <c r="K285" t="s">
        <v>36</v>
      </c>
      <c r="L285">
        <v>197.33</v>
      </c>
      <c r="M285">
        <v>6</v>
      </c>
      <c r="N285" s="2">
        <v>0.1</v>
      </c>
      <c r="O285">
        <v>1183.98</v>
      </c>
      <c r="P285">
        <v>118.39800000000001</v>
      </c>
      <c r="Q285">
        <f>Sheet1__3_1_1_1[[#This Row],[Gross_Revenue]]-Sheet1__3_1_1_1[[#This Row],[Discount_Amount]]</f>
        <v>1065.5820000000001</v>
      </c>
      <c r="R285">
        <v>511.48</v>
      </c>
      <c r="S285">
        <f>Sheet1__3_1_1_1[[#This Row],[Net_Revenue]]-Sheet1__3_1_1_1[[#This Row],[COGS]]</f>
        <v>554.10200000000009</v>
      </c>
    </row>
    <row r="286" spans="1:19" x14ac:dyDescent="0.25">
      <c r="A286" t="s">
        <v>381</v>
      </c>
      <c r="B286" s="1">
        <v>44995</v>
      </c>
      <c r="C286" t="s">
        <v>29</v>
      </c>
      <c r="D286" t="s">
        <v>30</v>
      </c>
      <c r="E286" t="s">
        <v>39</v>
      </c>
      <c r="F286" t="s">
        <v>31</v>
      </c>
      <c r="G286" t="s">
        <v>93</v>
      </c>
      <c r="H286" t="s">
        <v>24</v>
      </c>
      <c r="I286" t="s">
        <v>34</v>
      </c>
      <c r="J286" t="s">
        <v>35</v>
      </c>
      <c r="K286" t="s">
        <v>53</v>
      </c>
      <c r="L286">
        <v>122.52</v>
      </c>
      <c r="M286">
        <v>8</v>
      </c>
      <c r="N286" s="2">
        <v>0.1</v>
      </c>
      <c r="O286">
        <v>980.16</v>
      </c>
      <c r="P286">
        <v>98.016000000000005</v>
      </c>
      <c r="Q286">
        <f>Sheet1__3_1_1_1[[#This Row],[Gross_Revenue]]-Sheet1__3_1_1_1[[#This Row],[Discount_Amount]]</f>
        <v>882.14400000000001</v>
      </c>
      <c r="R286">
        <v>423.43</v>
      </c>
      <c r="S286">
        <f>Sheet1__3_1_1_1[[#This Row],[Net_Revenue]]-Sheet1__3_1_1_1[[#This Row],[COGS]]</f>
        <v>458.714</v>
      </c>
    </row>
    <row r="287" spans="1:19" x14ac:dyDescent="0.25">
      <c r="A287" t="s">
        <v>382</v>
      </c>
      <c r="B287" s="1">
        <v>44763</v>
      </c>
      <c r="C287" t="s">
        <v>44</v>
      </c>
      <c r="D287" t="s">
        <v>45</v>
      </c>
      <c r="E287" t="s">
        <v>66</v>
      </c>
      <c r="F287" t="s">
        <v>31</v>
      </c>
      <c r="G287" t="s">
        <v>93</v>
      </c>
      <c r="H287" t="s">
        <v>33</v>
      </c>
      <c r="I287" t="s">
        <v>48</v>
      </c>
      <c r="J287" t="s">
        <v>49</v>
      </c>
      <c r="K287" t="s">
        <v>27</v>
      </c>
      <c r="L287">
        <v>152.13999999999999</v>
      </c>
      <c r="M287">
        <v>3</v>
      </c>
      <c r="N287" s="2">
        <v>0</v>
      </c>
      <c r="O287">
        <v>456.41999999999996</v>
      </c>
      <c r="P287">
        <v>0</v>
      </c>
      <c r="Q287">
        <f>Sheet1__3_1_1_1[[#This Row],[Gross_Revenue]]-Sheet1__3_1_1_1[[#This Row],[Discount_Amount]]</f>
        <v>456.41999999999996</v>
      </c>
      <c r="R287">
        <v>219.08</v>
      </c>
      <c r="S287">
        <f>Sheet1__3_1_1_1[[#This Row],[Net_Revenue]]-Sheet1__3_1_1_1[[#This Row],[COGS]]</f>
        <v>237.33999999999995</v>
      </c>
    </row>
    <row r="288" spans="1:19" x14ac:dyDescent="0.25">
      <c r="A288" t="s">
        <v>383</v>
      </c>
      <c r="B288" s="1">
        <v>44782</v>
      </c>
      <c r="C288" t="s">
        <v>19</v>
      </c>
      <c r="D288" t="s">
        <v>130</v>
      </c>
      <c r="E288" t="s">
        <v>63</v>
      </c>
      <c r="F288" t="s">
        <v>31</v>
      </c>
      <c r="G288" t="s">
        <v>93</v>
      </c>
      <c r="H288" t="s">
        <v>24</v>
      </c>
      <c r="I288" t="s">
        <v>34</v>
      </c>
      <c r="J288" t="s">
        <v>26</v>
      </c>
      <c r="K288" t="s">
        <v>143</v>
      </c>
      <c r="L288">
        <v>159.13999999999999</v>
      </c>
      <c r="M288">
        <v>4</v>
      </c>
      <c r="N288" s="2">
        <v>0.05</v>
      </c>
      <c r="O288">
        <v>636.55999999999995</v>
      </c>
      <c r="P288">
        <v>31.827999999999999</v>
      </c>
      <c r="Q288">
        <f>Sheet1__3_1_1_1[[#This Row],[Gross_Revenue]]-Sheet1__3_1_1_1[[#This Row],[Discount_Amount]]</f>
        <v>604.73199999999997</v>
      </c>
      <c r="R288">
        <v>290.27</v>
      </c>
      <c r="S288">
        <f>Sheet1__3_1_1_1[[#This Row],[Net_Revenue]]-Sheet1__3_1_1_1[[#This Row],[COGS]]</f>
        <v>314.46199999999999</v>
      </c>
    </row>
    <row r="289" spans="1:19" x14ac:dyDescent="0.25">
      <c r="A289" t="s">
        <v>384</v>
      </c>
      <c r="B289" s="1">
        <v>45051</v>
      </c>
      <c r="C289" t="s">
        <v>29</v>
      </c>
      <c r="D289" t="s">
        <v>62</v>
      </c>
      <c r="E289" t="s">
        <v>66</v>
      </c>
      <c r="F289" t="s">
        <v>31</v>
      </c>
      <c r="G289" t="s">
        <v>122</v>
      </c>
      <c r="H289" t="s">
        <v>106</v>
      </c>
      <c r="I289" t="s">
        <v>34</v>
      </c>
      <c r="J289" t="s">
        <v>89</v>
      </c>
      <c r="K289" t="s">
        <v>36</v>
      </c>
      <c r="L289">
        <v>418.94</v>
      </c>
      <c r="M289">
        <v>5</v>
      </c>
      <c r="N289" s="2">
        <v>0</v>
      </c>
      <c r="O289">
        <v>2094.6999999999998</v>
      </c>
      <c r="P289">
        <v>0</v>
      </c>
      <c r="Q289">
        <f>Sheet1__3_1_1_1[[#This Row],[Gross_Revenue]]-Sheet1__3_1_1_1[[#This Row],[Discount_Amount]]</f>
        <v>2094.6999999999998</v>
      </c>
      <c r="R289">
        <v>1005.46</v>
      </c>
      <c r="S289">
        <f>Sheet1__3_1_1_1[[#This Row],[Net_Revenue]]-Sheet1__3_1_1_1[[#This Row],[COGS]]</f>
        <v>1089.2399999999998</v>
      </c>
    </row>
    <row r="290" spans="1:19" x14ac:dyDescent="0.25">
      <c r="A290" t="s">
        <v>385</v>
      </c>
      <c r="B290" s="1">
        <v>45238</v>
      </c>
      <c r="C290" t="s">
        <v>19</v>
      </c>
      <c r="D290" t="s">
        <v>20</v>
      </c>
      <c r="E290" t="s">
        <v>39</v>
      </c>
      <c r="F290" t="s">
        <v>69</v>
      </c>
      <c r="G290" t="s">
        <v>101</v>
      </c>
      <c r="H290" t="s">
        <v>111</v>
      </c>
      <c r="I290" t="s">
        <v>42</v>
      </c>
      <c r="J290" t="s">
        <v>94</v>
      </c>
      <c r="K290" t="s">
        <v>36</v>
      </c>
      <c r="L290">
        <v>8.43</v>
      </c>
      <c r="M290">
        <v>23</v>
      </c>
      <c r="N290" s="2">
        <v>0</v>
      </c>
      <c r="O290">
        <v>193.89</v>
      </c>
      <c r="P290">
        <v>0</v>
      </c>
      <c r="Q290">
        <f>Sheet1__3_1_1_1[[#This Row],[Gross_Revenue]]-Sheet1__3_1_1_1[[#This Row],[Discount_Amount]]</f>
        <v>193.89</v>
      </c>
      <c r="R290">
        <v>73.680000000000007</v>
      </c>
      <c r="S290">
        <f>Sheet1__3_1_1_1[[#This Row],[Net_Revenue]]-Sheet1__3_1_1_1[[#This Row],[COGS]]</f>
        <v>120.20999999999998</v>
      </c>
    </row>
    <row r="291" spans="1:19" x14ac:dyDescent="0.25">
      <c r="A291" t="s">
        <v>386</v>
      </c>
      <c r="B291" s="1">
        <v>44879</v>
      </c>
      <c r="C291" t="s">
        <v>99</v>
      </c>
      <c r="D291" t="s">
        <v>132</v>
      </c>
      <c r="E291" t="s">
        <v>39</v>
      </c>
      <c r="F291" t="s">
        <v>55</v>
      </c>
      <c r="G291" t="s">
        <v>56</v>
      </c>
      <c r="H291" t="s">
        <v>59</v>
      </c>
      <c r="I291" t="s">
        <v>34</v>
      </c>
      <c r="J291" t="s">
        <v>35</v>
      </c>
      <c r="K291" t="s">
        <v>36</v>
      </c>
      <c r="L291">
        <v>42.66</v>
      </c>
      <c r="M291">
        <v>7</v>
      </c>
      <c r="N291" s="2">
        <v>0</v>
      </c>
      <c r="O291">
        <v>298.62</v>
      </c>
      <c r="P291">
        <v>0</v>
      </c>
      <c r="Q291">
        <f>Sheet1__3_1_1_1[[#This Row],[Gross_Revenue]]-Sheet1__3_1_1_1[[#This Row],[Discount_Amount]]</f>
        <v>298.62</v>
      </c>
      <c r="R291">
        <v>125.42</v>
      </c>
      <c r="S291">
        <f>Sheet1__3_1_1_1[[#This Row],[Net_Revenue]]-Sheet1__3_1_1_1[[#This Row],[COGS]]</f>
        <v>173.2</v>
      </c>
    </row>
    <row r="292" spans="1:19" x14ac:dyDescent="0.25">
      <c r="A292" t="s">
        <v>387</v>
      </c>
      <c r="B292" s="1">
        <v>44919</v>
      </c>
      <c r="C292" t="s">
        <v>44</v>
      </c>
      <c r="D292" t="s">
        <v>51</v>
      </c>
      <c r="E292" t="s">
        <v>39</v>
      </c>
      <c r="F292" t="s">
        <v>69</v>
      </c>
      <c r="G292" t="s">
        <v>190</v>
      </c>
      <c r="H292" t="s">
        <v>24</v>
      </c>
      <c r="I292" t="s">
        <v>48</v>
      </c>
      <c r="J292" t="s">
        <v>89</v>
      </c>
      <c r="K292" t="s">
        <v>53</v>
      </c>
      <c r="L292">
        <v>21.19</v>
      </c>
      <c r="M292">
        <v>25</v>
      </c>
      <c r="N292" s="2">
        <v>0.2</v>
      </c>
      <c r="O292">
        <v>529.75</v>
      </c>
      <c r="P292">
        <v>105.95</v>
      </c>
      <c r="Q292">
        <f>Sheet1__3_1_1_1[[#This Row],[Gross_Revenue]]-Sheet1__3_1_1_1[[#This Row],[Discount_Amount]]</f>
        <v>423.8</v>
      </c>
      <c r="R292">
        <v>161.04</v>
      </c>
      <c r="S292">
        <f>Sheet1__3_1_1_1[[#This Row],[Net_Revenue]]-Sheet1__3_1_1_1[[#This Row],[COGS]]</f>
        <v>262.76</v>
      </c>
    </row>
    <row r="293" spans="1:19" x14ac:dyDescent="0.25">
      <c r="A293" t="s">
        <v>388</v>
      </c>
      <c r="B293" s="1">
        <v>45052</v>
      </c>
      <c r="C293" t="s">
        <v>29</v>
      </c>
      <c r="D293" t="s">
        <v>30</v>
      </c>
      <c r="E293" t="s">
        <v>63</v>
      </c>
      <c r="F293" t="s">
        <v>69</v>
      </c>
      <c r="G293" t="s">
        <v>126</v>
      </c>
      <c r="H293" t="s">
        <v>71</v>
      </c>
      <c r="I293" t="s">
        <v>48</v>
      </c>
      <c r="J293" t="s">
        <v>35</v>
      </c>
      <c r="K293" t="s">
        <v>36</v>
      </c>
      <c r="L293">
        <v>22.71</v>
      </c>
      <c r="M293">
        <v>23</v>
      </c>
      <c r="N293" s="2">
        <v>0.1</v>
      </c>
      <c r="O293">
        <v>522.33000000000004</v>
      </c>
      <c r="P293">
        <v>52.233000000000004</v>
      </c>
      <c r="Q293">
        <f>Sheet1__3_1_1_1[[#This Row],[Gross_Revenue]]-Sheet1__3_1_1_1[[#This Row],[Discount_Amount]]</f>
        <v>470.09700000000004</v>
      </c>
      <c r="R293">
        <v>178.64</v>
      </c>
      <c r="S293">
        <f>Sheet1__3_1_1_1[[#This Row],[Net_Revenue]]-Sheet1__3_1_1_1[[#This Row],[COGS]]</f>
        <v>291.45700000000005</v>
      </c>
    </row>
    <row r="294" spans="1:19" x14ac:dyDescent="0.25">
      <c r="A294" t="s">
        <v>389</v>
      </c>
      <c r="B294" s="1">
        <v>45136</v>
      </c>
      <c r="C294" t="s">
        <v>99</v>
      </c>
      <c r="D294" t="s">
        <v>132</v>
      </c>
      <c r="E294" t="s">
        <v>39</v>
      </c>
      <c r="F294" t="s">
        <v>55</v>
      </c>
      <c r="G294" t="s">
        <v>56</v>
      </c>
      <c r="H294" t="s">
        <v>59</v>
      </c>
      <c r="I294" t="s">
        <v>34</v>
      </c>
      <c r="J294" t="s">
        <v>35</v>
      </c>
      <c r="K294" t="s">
        <v>53</v>
      </c>
      <c r="L294">
        <v>47.67</v>
      </c>
      <c r="M294">
        <v>4</v>
      </c>
      <c r="N294" s="2">
        <v>0</v>
      </c>
      <c r="O294">
        <v>190.68</v>
      </c>
      <c r="P294">
        <v>0</v>
      </c>
      <c r="Q294">
        <f>Sheet1__3_1_1_1[[#This Row],[Gross_Revenue]]-Sheet1__3_1_1_1[[#This Row],[Discount_Amount]]</f>
        <v>190.68</v>
      </c>
      <c r="R294">
        <v>80.09</v>
      </c>
      <c r="S294">
        <f>Sheet1__3_1_1_1[[#This Row],[Net_Revenue]]-Sheet1__3_1_1_1[[#This Row],[COGS]]</f>
        <v>110.59</v>
      </c>
    </row>
    <row r="295" spans="1:19" x14ac:dyDescent="0.25">
      <c r="A295" t="s">
        <v>390</v>
      </c>
      <c r="B295" s="1">
        <v>44697</v>
      </c>
      <c r="C295" t="s">
        <v>19</v>
      </c>
      <c r="D295" t="s">
        <v>91</v>
      </c>
      <c r="E295" t="s">
        <v>21</v>
      </c>
      <c r="F295" t="s">
        <v>69</v>
      </c>
      <c r="G295" t="s">
        <v>101</v>
      </c>
      <c r="H295" t="s">
        <v>52</v>
      </c>
      <c r="I295" t="s">
        <v>42</v>
      </c>
      <c r="J295" t="s">
        <v>26</v>
      </c>
      <c r="K295" t="s">
        <v>36</v>
      </c>
      <c r="L295">
        <v>8.93</v>
      </c>
      <c r="M295">
        <v>21</v>
      </c>
      <c r="N295" s="2">
        <v>0</v>
      </c>
      <c r="O295">
        <v>187.53</v>
      </c>
      <c r="P295">
        <v>0</v>
      </c>
      <c r="Q295">
        <f>Sheet1__3_1_1_1[[#This Row],[Gross_Revenue]]-Sheet1__3_1_1_1[[#This Row],[Discount_Amount]]</f>
        <v>187.53</v>
      </c>
      <c r="R295">
        <v>71.260000000000005</v>
      </c>
      <c r="S295">
        <f>Sheet1__3_1_1_1[[#This Row],[Net_Revenue]]-Sheet1__3_1_1_1[[#This Row],[COGS]]</f>
        <v>116.27</v>
      </c>
    </row>
    <row r="296" spans="1:19" x14ac:dyDescent="0.25">
      <c r="A296" t="s">
        <v>391</v>
      </c>
      <c r="B296" s="1">
        <v>45063</v>
      </c>
      <c r="C296" t="s">
        <v>44</v>
      </c>
      <c r="D296" t="s">
        <v>65</v>
      </c>
      <c r="E296" t="s">
        <v>66</v>
      </c>
      <c r="F296" t="s">
        <v>55</v>
      </c>
      <c r="G296" t="s">
        <v>103</v>
      </c>
      <c r="H296" t="s">
        <v>106</v>
      </c>
      <c r="I296" t="s">
        <v>42</v>
      </c>
      <c r="J296" t="s">
        <v>49</v>
      </c>
      <c r="K296" t="s">
        <v>36</v>
      </c>
      <c r="L296">
        <v>143.87</v>
      </c>
      <c r="M296">
        <v>1</v>
      </c>
      <c r="N296" s="2">
        <v>0</v>
      </c>
      <c r="O296">
        <v>143.87</v>
      </c>
      <c r="P296">
        <v>0</v>
      </c>
      <c r="Q296">
        <f>Sheet1__3_1_1_1[[#This Row],[Gross_Revenue]]-Sheet1__3_1_1_1[[#This Row],[Discount_Amount]]</f>
        <v>143.87</v>
      </c>
      <c r="R296">
        <v>60.43</v>
      </c>
      <c r="S296">
        <f>Sheet1__3_1_1_1[[#This Row],[Net_Revenue]]-Sheet1__3_1_1_1[[#This Row],[COGS]]</f>
        <v>83.44</v>
      </c>
    </row>
    <row r="297" spans="1:19" x14ac:dyDescent="0.25">
      <c r="A297" t="s">
        <v>392</v>
      </c>
      <c r="B297" s="1">
        <v>44660</v>
      </c>
      <c r="C297" t="s">
        <v>77</v>
      </c>
      <c r="D297" t="s">
        <v>78</v>
      </c>
      <c r="E297" t="s">
        <v>66</v>
      </c>
      <c r="F297" t="s">
        <v>22</v>
      </c>
      <c r="G297" t="s">
        <v>23</v>
      </c>
      <c r="H297" t="s">
        <v>57</v>
      </c>
      <c r="I297" t="s">
        <v>60</v>
      </c>
      <c r="J297" t="s">
        <v>89</v>
      </c>
      <c r="K297" t="s">
        <v>36</v>
      </c>
      <c r="L297">
        <v>14.1</v>
      </c>
      <c r="M297">
        <v>3</v>
      </c>
      <c r="N297" s="2">
        <v>0.15</v>
      </c>
      <c r="O297">
        <v>42.3</v>
      </c>
      <c r="P297">
        <v>6.3449999999999998</v>
      </c>
      <c r="Q297">
        <f>Sheet1__3_1_1_1[[#This Row],[Gross_Revenue]]-Sheet1__3_1_1_1[[#This Row],[Discount_Amount]]</f>
        <v>35.954999999999998</v>
      </c>
      <c r="R297">
        <v>19.78</v>
      </c>
      <c r="S297">
        <f>Sheet1__3_1_1_1[[#This Row],[Net_Revenue]]-Sheet1__3_1_1_1[[#This Row],[COGS]]</f>
        <v>16.174999999999997</v>
      </c>
    </row>
    <row r="298" spans="1:19" x14ac:dyDescent="0.25">
      <c r="A298" t="s">
        <v>393</v>
      </c>
      <c r="B298" s="1">
        <v>44985</v>
      </c>
      <c r="C298" t="s">
        <v>99</v>
      </c>
      <c r="D298" t="s">
        <v>100</v>
      </c>
      <c r="E298" t="s">
        <v>39</v>
      </c>
      <c r="F298" t="s">
        <v>31</v>
      </c>
      <c r="G298" t="s">
        <v>40</v>
      </c>
      <c r="H298" t="s">
        <v>111</v>
      </c>
      <c r="I298" t="s">
        <v>34</v>
      </c>
      <c r="J298" t="s">
        <v>89</v>
      </c>
      <c r="K298" t="s">
        <v>36</v>
      </c>
      <c r="L298">
        <v>256.64</v>
      </c>
      <c r="M298">
        <v>1</v>
      </c>
      <c r="N298" s="2">
        <v>0</v>
      </c>
      <c r="O298">
        <v>256.64</v>
      </c>
      <c r="P298">
        <v>0</v>
      </c>
      <c r="Q298">
        <f>Sheet1__3_1_1_1[[#This Row],[Gross_Revenue]]-Sheet1__3_1_1_1[[#This Row],[Discount_Amount]]</f>
        <v>256.64</v>
      </c>
      <c r="R298">
        <v>123.19</v>
      </c>
      <c r="S298">
        <f>Sheet1__3_1_1_1[[#This Row],[Net_Revenue]]-Sheet1__3_1_1_1[[#This Row],[COGS]]</f>
        <v>133.44999999999999</v>
      </c>
    </row>
    <row r="299" spans="1:19" x14ac:dyDescent="0.25">
      <c r="A299" t="s">
        <v>394</v>
      </c>
      <c r="B299" s="1">
        <v>44859</v>
      </c>
      <c r="C299" t="s">
        <v>77</v>
      </c>
      <c r="D299" t="s">
        <v>110</v>
      </c>
      <c r="E299" t="s">
        <v>66</v>
      </c>
      <c r="F299" t="s">
        <v>22</v>
      </c>
      <c r="G299" t="s">
        <v>75</v>
      </c>
      <c r="H299" t="s">
        <v>47</v>
      </c>
      <c r="I299" t="s">
        <v>42</v>
      </c>
      <c r="J299" t="s">
        <v>94</v>
      </c>
      <c r="K299" t="s">
        <v>143</v>
      </c>
      <c r="L299">
        <v>9.8699999999999992</v>
      </c>
      <c r="M299">
        <v>29</v>
      </c>
      <c r="N299" s="2">
        <v>0.05</v>
      </c>
      <c r="O299">
        <v>286.22999999999996</v>
      </c>
      <c r="P299">
        <v>14.311499999999999</v>
      </c>
      <c r="Q299">
        <f>Sheet1__3_1_1_1[[#This Row],[Gross_Revenue]]-Sheet1__3_1_1_1[[#This Row],[Discount_Amount]]</f>
        <v>271.91849999999994</v>
      </c>
      <c r="R299">
        <v>149.56</v>
      </c>
      <c r="S299">
        <f>Sheet1__3_1_1_1[[#This Row],[Net_Revenue]]-Sheet1__3_1_1_1[[#This Row],[COGS]]</f>
        <v>122.35849999999994</v>
      </c>
    </row>
    <row r="300" spans="1:19" x14ac:dyDescent="0.25">
      <c r="A300" t="s">
        <v>395</v>
      </c>
      <c r="B300" s="1">
        <v>44744</v>
      </c>
      <c r="C300" t="s">
        <v>99</v>
      </c>
      <c r="D300" t="s">
        <v>148</v>
      </c>
      <c r="E300" t="s">
        <v>21</v>
      </c>
      <c r="F300" t="s">
        <v>79</v>
      </c>
      <c r="G300" t="s">
        <v>85</v>
      </c>
      <c r="H300" t="s">
        <v>59</v>
      </c>
      <c r="I300" t="s">
        <v>60</v>
      </c>
      <c r="J300" t="s">
        <v>94</v>
      </c>
      <c r="K300" t="s">
        <v>53</v>
      </c>
      <c r="L300">
        <v>942.54</v>
      </c>
      <c r="M300">
        <v>3</v>
      </c>
      <c r="N300" s="2">
        <v>0</v>
      </c>
      <c r="O300">
        <v>2827.62</v>
      </c>
      <c r="P300">
        <v>0</v>
      </c>
      <c r="Q300">
        <f>Sheet1__3_1_1_1[[#This Row],[Gross_Revenue]]-Sheet1__3_1_1_1[[#This Row],[Discount_Amount]]</f>
        <v>2827.62</v>
      </c>
      <c r="R300">
        <v>1753.12</v>
      </c>
      <c r="S300">
        <f>Sheet1__3_1_1_1[[#This Row],[Net_Revenue]]-Sheet1__3_1_1_1[[#This Row],[COGS]]</f>
        <v>1074.5</v>
      </c>
    </row>
    <row r="301" spans="1:19" x14ac:dyDescent="0.25">
      <c r="A301" t="s">
        <v>396</v>
      </c>
      <c r="B301" s="1">
        <v>44856</v>
      </c>
      <c r="C301" t="s">
        <v>29</v>
      </c>
      <c r="D301" t="s">
        <v>30</v>
      </c>
      <c r="E301" t="s">
        <v>66</v>
      </c>
      <c r="F301" t="s">
        <v>79</v>
      </c>
      <c r="G301" t="s">
        <v>96</v>
      </c>
      <c r="H301" t="s">
        <v>108</v>
      </c>
      <c r="I301" t="s">
        <v>25</v>
      </c>
      <c r="J301" t="s">
        <v>49</v>
      </c>
      <c r="K301" t="s">
        <v>36</v>
      </c>
      <c r="L301">
        <v>458.4</v>
      </c>
      <c r="M301">
        <v>4</v>
      </c>
      <c r="N301" s="2">
        <v>0</v>
      </c>
      <c r="O301">
        <v>1833.6</v>
      </c>
      <c r="P301">
        <v>0</v>
      </c>
      <c r="Q301">
        <f>Sheet1__3_1_1_1[[#This Row],[Gross_Revenue]]-Sheet1__3_1_1_1[[#This Row],[Discount_Amount]]</f>
        <v>1833.6</v>
      </c>
      <c r="R301">
        <v>1136.83</v>
      </c>
      <c r="S301">
        <f>Sheet1__3_1_1_1[[#This Row],[Net_Revenue]]-Sheet1__3_1_1_1[[#This Row],[COGS]]</f>
        <v>696.77</v>
      </c>
    </row>
    <row r="302" spans="1:19" x14ac:dyDescent="0.25">
      <c r="A302" t="s">
        <v>397</v>
      </c>
      <c r="B302" s="1">
        <v>44758</v>
      </c>
      <c r="C302" t="s">
        <v>99</v>
      </c>
      <c r="D302" t="s">
        <v>132</v>
      </c>
      <c r="E302" t="s">
        <v>63</v>
      </c>
      <c r="F302" t="s">
        <v>31</v>
      </c>
      <c r="G302" t="s">
        <v>40</v>
      </c>
      <c r="H302" t="s">
        <v>71</v>
      </c>
      <c r="I302" t="s">
        <v>34</v>
      </c>
      <c r="J302" t="s">
        <v>89</v>
      </c>
      <c r="K302" t="s">
        <v>27</v>
      </c>
      <c r="L302">
        <v>245.25</v>
      </c>
      <c r="M302">
        <v>3</v>
      </c>
      <c r="N302" s="2">
        <v>0.1</v>
      </c>
      <c r="O302">
        <v>735.75</v>
      </c>
      <c r="P302">
        <v>73.575000000000003</v>
      </c>
      <c r="Q302">
        <f>Sheet1__3_1_1_1[[#This Row],[Gross_Revenue]]-Sheet1__3_1_1_1[[#This Row],[Discount_Amount]]</f>
        <v>662.17499999999995</v>
      </c>
      <c r="R302">
        <v>317.83999999999997</v>
      </c>
      <c r="S302">
        <f>Sheet1__3_1_1_1[[#This Row],[Net_Revenue]]-Sheet1__3_1_1_1[[#This Row],[COGS]]</f>
        <v>344.33499999999998</v>
      </c>
    </row>
    <row r="303" spans="1:19" x14ac:dyDescent="0.25">
      <c r="A303" t="s">
        <v>398</v>
      </c>
      <c r="B303" s="1">
        <v>44928</v>
      </c>
      <c r="C303" t="s">
        <v>19</v>
      </c>
      <c r="D303" t="s">
        <v>91</v>
      </c>
      <c r="E303" t="s">
        <v>39</v>
      </c>
      <c r="F303" t="s">
        <v>55</v>
      </c>
      <c r="G303" t="s">
        <v>56</v>
      </c>
      <c r="H303" t="s">
        <v>57</v>
      </c>
      <c r="I303" t="s">
        <v>34</v>
      </c>
      <c r="J303" t="s">
        <v>94</v>
      </c>
      <c r="K303" t="s">
        <v>27</v>
      </c>
      <c r="L303">
        <v>48.93</v>
      </c>
      <c r="M303">
        <v>7</v>
      </c>
      <c r="N303" s="2">
        <v>0.15</v>
      </c>
      <c r="O303">
        <v>342.51</v>
      </c>
      <c r="P303">
        <v>51.3765</v>
      </c>
      <c r="Q303">
        <f>Sheet1__3_1_1_1[[#This Row],[Gross_Revenue]]-Sheet1__3_1_1_1[[#This Row],[Discount_Amount]]</f>
        <v>291.13349999999997</v>
      </c>
      <c r="R303">
        <v>122.27</v>
      </c>
      <c r="S303">
        <f>Sheet1__3_1_1_1[[#This Row],[Net_Revenue]]-Sheet1__3_1_1_1[[#This Row],[COGS]]</f>
        <v>168.86349999999999</v>
      </c>
    </row>
    <row r="304" spans="1:19" x14ac:dyDescent="0.25">
      <c r="A304" t="s">
        <v>399</v>
      </c>
      <c r="B304" s="1">
        <v>44984</v>
      </c>
      <c r="C304" t="s">
        <v>77</v>
      </c>
      <c r="D304" t="s">
        <v>110</v>
      </c>
      <c r="E304" t="s">
        <v>39</v>
      </c>
      <c r="F304" t="s">
        <v>69</v>
      </c>
      <c r="G304" t="s">
        <v>73</v>
      </c>
      <c r="H304" t="s">
        <v>59</v>
      </c>
      <c r="I304" t="s">
        <v>48</v>
      </c>
      <c r="J304" t="s">
        <v>89</v>
      </c>
      <c r="K304" t="s">
        <v>36</v>
      </c>
      <c r="L304">
        <v>13.88</v>
      </c>
      <c r="M304">
        <v>30</v>
      </c>
      <c r="N304" s="2">
        <v>0.15</v>
      </c>
      <c r="O304">
        <v>416.40000000000003</v>
      </c>
      <c r="P304">
        <v>62.46</v>
      </c>
      <c r="Q304">
        <f>Sheet1__3_1_1_1[[#This Row],[Gross_Revenue]]-Sheet1__3_1_1_1[[#This Row],[Discount_Amount]]</f>
        <v>353.94000000000005</v>
      </c>
      <c r="R304">
        <v>134.5</v>
      </c>
      <c r="S304">
        <f>Sheet1__3_1_1_1[[#This Row],[Net_Revenue]]-Sheet1__3_1_1_1[[#This Row],[COGS]]</f>
        <v>219.44000000000005</v>
      </c>
    </row>
    <row r="305" spans="1:19" x14ac:dyDescent="0.25">
      <c r="A305" t="s">
        <v>400</v>
      </c>
      <c r="B305" s="1">
        <v>45112</v>
      </c>
      <c r="C305" t="s">
        <v>99</v>
      </c>
      <c r="D305" t="s">
        <v>148</v>
      </c>
      <c r="E305" t="s">
        <v>21</v>
      </c>
      <c r="F305" t="s">
        <v>22</v>
      </c>
      <c r="G305" t="s">
        <v>23</v>
      </c>
      <c r="H305" t="s">
        <v>33</v>
      </c>
      <c r="I305" t="s">
        <v>42</v>
      </c>
      <c r="J305" t="s">
        <v>26</v>
      </c>
      <c r="K305" t="s">
        <v>36</v>
      </c>
      <c r="L305">
        <v>13.46</v>
      </c>
      <c r="M305">
        <v>14</v>
      </c>
      <c r="N305" s="2">
        <v>0.05</v>
      </c>
      <c r="O305">
        <v>188.44</v>
      </c>
      <c r="P305">
        <v>9.4220000000000006</v>
      </c>
      <c r="Q305">
        <f>Sheet1__3_1_1_1[[#This Row],[Gross_Revenue]]-Sheet1__3_1_1_1[[#This Row],[Discount_Amount]]</f>
        <v>179.018</v>
      </c>
      <c r="R305">
        <v>98.46</v>
      </c>
      <c r="S305">
        <f>Sheet1__3_1_1_1[[#This Row],[Net_Revenue]]-Sheet1__3_1_1_1[[#This Row],[COGS]]</f>
        <v>80.558000000000007</v>
      </c>
    </row>
    <row r="306" spans="1:19" x14ac:dyDescent="0.25">
      <c r="A306" t="s">
        <v>401</v>
      </c>
      <c r="B306" s="1">
        <v>45160</v>
      </c>
      <c r="C306" t="s">
        <v>77</v>
      </c>
      <c r="D306" t="s">
        <v>82</v>
      </c>
      <c r="E306" t="s">
        <v>39</v>
      </c>
      <c r="F306" t="s">
        <v>79</v>
      </c>
      <c r="G306" t="s">
        <v>56</v>
      </c>
      <c r="H306" t="s">
        <v>52</v>
      </c>
      <c r="I306" t="s">
        <v>48</v>
      </c>
      <c r="J306" t="s">
        <v>49</v>
      </c>
      <c r="K306" t="s">
        <v>36</v>
      </c>
      <c r="L306">
        <v>51.77</v>
      </c>
      <c r="M306">
        <v>6</v>
      </c>
      <c r="N306" s="2">
        <v>0.05</v>
      </c>
      <c r="O306">
        <v>310.62</v>
      </c>
      <c r="P306">
        <v>15.531000000000001</v>
      </c>
      <c r="Q306">
        <f>Sheet1__3_1_1_1[[#This Row],[Gross_Revenue]]-Sheet1__3_1_1_1[[#This Row],[Discount_Amount]]</f>
        <v>295.089</v>
      </c>
      <c r="R306">
        <v>182.96</v>
      </c>
      <c r="S306">
        <f>Sheet1__3_1_1_1[[#This Row],[Net_Revenue]]-Sheet1__3_1_1_1[[#This Row],[COGS]]</f>
        <v>112.12899999999999</v>
      </c>
    </row>
    <row r="307" spans="1:19" x14ac:dyDescent="0.25">
      <c r="A307" t="s">
        <v>402</v>
      </c>
      <c r="B307" s="1">
        <v>44570</v>
      </c>
      <c r="C307" t="s">
        <v>99</v>
      </c>
      <c r="D307" t="s">
        <v>100</v>
      </c>
      <c r="E307" t="s">
        <v>39</v>
      </c>
      <c r="F307" t="s">
        <v>55</v>
      </c>
      <c r="G307" t="s">
        <v>103</v>
      </c>
      <c r="H307" t="s">
        <v>24</v>
      </c>
      <c r="I307" t="s">
        <v>60</v>
      </c>
      <c r="J307" t="s">
        <v>49</v>
      </c>
      <c r="K307" t="s">
        <v>36</v>
      </c>
      <c r="L307">
        <v>147.36000000000001</v>
      </c>
      <c r="M307">
        <v>3</v>
      </c>
      <c r="N307" s="2">
        <v>0</v>
      </c>
      <c r="O307">
        <v>442.08000000000004</v>
      </c>
      <c r="P307">
        <v>0</v>
      </c>
      <c r="Q307">
        <f>Sheet1__3_1_1_1[[#This Row],[Gross_Revenue]]-Sheet1__3_1_1_1[[#This Row],[Discount_Amount]]</f>
        <v>442.08000000000004</v>
      </c>
      <c r="R307">
        <v>185.67</v>
      </c>
      <c r="S307">
        <f>Sheet1__3_1_1_1[[#This Row],[Net_Revenue]]-Sheet1__3_1_1_1[[#This Row],[COGS]]</f>
        <v>256.41000000000008</v>
      </c>
    </row>
    <row r="308" spans="1:19" x14ac:dyDescent="0.25">
      <c r="A308" t="s">
        <v>403</v>
      </c>
      <c r="B308" s="1">
        <v>45030</v>
      </c>
      <c r="C308" t="s">
        <v>77</v>
      </c>
      <c r="D308" t="s">
        <v>110</v>
      </c>
      <c r="E308" t="s">
        <v>66</v>
      </c>
      <c r="F308" t="s">
        <v>31</v>
      </c>
      <c r="G308" t="s">
        <v>166</v>
      </c>
      <c r="H308" t="s">
        <v>108</v>
      </c>
      <c r="I308" t="s">
        <v>48</v>
      </c>
      <c r="J308" t="s">
        <v>89</v>
      </c>
      <c r="K308" t="s">
        <v>36</v>
      </c>
      <c r="L308">
        <v>255.51</v>
      </c>
      <c r="M308">
        <v>2</v>
      </c>
      <c r="N308" s="2">
        <v>0</v>
      </c>
      <c r="O308">
        <v>511.02</v>
      </c>
      <c r="P308">
        <v>0</v>
      </c>
      <c r="Q308">
        <f>Sheet1__3_1_1_1[[#This Row],[Gross_Revenue]]-Sheet1__3_1_1_1[[#This Row],[Discount_Amount]]</f>
        <v>511.02</v>
      </c>
      <c r="R308">
        <v>245.29</v>
      </c>
      <c r="S308">
        <f>Sheet1__3_1_1_1[[#This Row],[Net_Revenue]]-Sheet1__3_1_1_1[[#This Row],[COGS]]</f>
        <v>265.73</v>
      </c>
    </row>
    <row r="309" spans="1:19" x14ac:dyDescent="0.25">
      <c r="A309" t="s">
        <v>404</v>
      </c>
      <c r="B309" s="1">
        <v>45216</v>
      </c>
      <c r="C309" t="s">
        <v>99</v>
      </c>
      <c r="D309" t="s">
        <v>148</v>
      </c>
      <c r="E309" t="s">
        <v>39</v>
      </c>
      <c r="F309" t="s">
        <v>31</v>
      </c>
      <c r="G309" t="s">
        <v>93</v>
      </c>
      <c r="H309" t="s">
        <v>87</v>
      </c>
      <c r="I309" t="s">
        <v>25</v>
      </c>
      <c r="J309" t="s">
        <v>26</v>
      </c>
      <c r="K309" t="s">
        <v>36</v>
      </c>
      <c r="L309">
        <v>169.16</v>
      </c>
      <c r="M309">
        <v>3</v>
      </c>
      <c r="N309" s="2">
        <v>0</v>
      </c>
      <c r="O309">
        <v>507.48</v>
      </c>
      <c r="P309">
        <v>0</v>
      </c>
      <c r="Q309">
        <f>Sheet1__3_1_1_1[[#This Row],[Gross_Revenue]]-Sheet1__3_1_1_1[[#This Row],[Discount_Amount]]</f>
        <v>507.48</v>
      </c>
      <c r="R309">
        <v>243.59</v>
      </c>
      <c r="S309">
        <f>Sheet1__3_1_1_1[[#This Row],[Net_Revenue]]-Sheet1__3_1_1_1[[#This Row],[COGS]]</f>
        <v>263.89</v>
      </c>
    </row>
    <row r="310" spans="1:19" x14ac:dyDescent="0.25">
      <c r="A310" t="s">
        <v>405</v>
      </c>
      <c r="B310" s="1">
        <v>45194</v>
      </c>
      <c r="C310" t="s">
        <v>77</v>
      </c>
      <c r="D310" t="s">
        <v>110</v>
      </c>
      <c r="E310" t="s">
        <v>39</v>
      </c>
      <c r="F310" t="s">
        <v>69</v>
      </c>
      <c r="G310" t="s">
        <v>101</v>
      </c>
      <c r="H310" t="s">
        <v>106</v>
      </c>
      <c r="I310" t="s">
        <v>34</v>
      </c>
      <c r="J310" t="s">
        <v>35</v>
      </c>
      <c r="K310" t="s">
        <v>53</v>
      </c>
      <c r="L310">
        <v>8.48</v>
      </c>
      <c r="M310">
        <v>13</v>
      </c>
      <c r="N310" s="2">
        <v>0.2</v>
      </c>
      <c r="O310">
        <v>110.24000000000001</v>
      </c>
      <c r="P310">
        <v>22.048000000000002</v>
      </c>
      <c r="Q310">
        <f>Sheet1__3_1_1_1[[#This Row],[Gross_Revenue]]-Sheet1__3_1_1_1[[#This Row],[Discount_Amount]]</f>
        <v>88.192000000000007</v>
      </c>
      <c r="R310">
        <v>33.51</v>
      </c>
      <c r="S310">
        <f>Sheet1__3_1_1_1[[#This Row],[Net_Revenue]]-Sheet1__3_1_1_1[[#This Row],[COGS]]</f>
        <v>54.682000000000009</v>
      </c>
    </row>
    <row r="311" spans="1:19" x14ac:dyDescent="0.25">
      <c r="A311" t="s">
        <v>406</v>
      </c>
      <c r="B311" s="1">
        <v>45056</v>
      </c>
      <c r="C311" t="s">
        <v>29</v>
      </c>
      <c r="D311" t="s">
        <v>38</v>
      </c>
      <c r="E311" t="s">
        <v>21</v>
      </c>
      <c r="F311" t="s">
        <v>55</v>
      </c>
      <c r="G311" t="s">
        <v>56</v>
      </c>
      <c r="H311" t="s">
        <v>41</v>
      </c>
      <c r="I311" t="s">
        <v>48</v>
      </c>
      <c r="J311" t="s">
        <v>26</v>
      </c>
      <c r="K311" t="s">
        <v>143</v>
      </c>
      <c r="L311" t="s">
        <v>1147</v>
      </c>
      <c r="M311">
        <v>7</v>
      </c>
      <c r="N311" s="2">
        <v>0</v>
      </c>
      <c r="O311">
        <v>0</v>
      </c>
      <c r="P311">
        <v>0</v>
      </c>
      <c r="Q311">
        <f>Sheet1__3_1_1_1[[#This Row],[Gross_Revenue]]-Sheet1__3_1_1_1[[#This Row],[Discount_Amount]]</f>
        <v>0</v>
      </c>
      <c r="R311" t="s">
        <v>1147</v>
      </c>
      <c r="S311" t="e">
        <f>Sheet1__3_1_1_1[[#This Row],[Net_Revenue]]-Sheet1__3_1_1_1[[#This Row],[COGS]]</f>
        <v>#VALUE!</v>
      </c>
    </row>
    <row r="312" spans="1:19" x14ac:dyDescent="0.25">
      <c r="A312" t="s">
        <v>407</v>
      </c>
      <c r="B312" s="1">
        <v>45074</v>
      </c>
      <c r="C312" t="s">
        <v>29</v>
      </c>
      <c r="D312" t="s">
        <v>62</v>
      </c>
      <c r="E312" t="s">
        <v>63</v>
      </c>
      <c r="F312" t="s">
        <v>22</v>
      </c>
      <c r="G312" t="s">
        <v>75</v>
      </c>
      <c r="H312" t="s">
        <v>71</v>
      </c>
      <c r="I312" t="s">
        <v>25</v>
      </c>
      <c r="J312" t="s">
        <v>49</v>
      </c>
      <c r="K312" t="s">
        <v>36</v>
      </c>
      <c r="L312">
        <v>11.59</v>
      </c>
      <c r="M312">
        <v>11</v>
      </c>
      <c r="N312" s="2">
        <v>0</v>
      </c>
      <c r="O312">
        <v>127.49</v>
      </c>
      <c r="P312">
        <v>0</v>
      </c>
      <c r="Q312">
        <f>Sheet1__3_1_1_1[[#This Row],[Gross_Revenue]]-Sheet1__3_1_1_1[[#This Row],[Discount_Amount]]</f>
        <v>127.49</v>
      </c>
      <c r="R312">
        <v>70.12</v>
      </c>
      <c r="S312">
        <f>Sheet1__3_1_1_1[[#This Row],[Net_Revenue]]-Sheet1__3_1_1_1[[#This Row],[COGS]]</f>
        <v>57.36999999999999</v>
      </c>
    </row>
    <row r="313" spans="1:19" x14ac:dyDescent="0.25">
      <c r="A313" t="s">
        <v>408</v>
      </c>
      <c r="B313" s="1">
        <v>44717</v>
      </c>
      <c r="C313" t="s">
        <v>29</v>
      </c>
      <c r="D313" t="s">
        <v>62</v>
      </c>
      <c r="E313" t="s">
        <v>63</v>
      </c>
      <c r="F313" t="s">
        <v>31</v>
      </c>
      <c r="G313" t="s">
        <v>32</v>
      </c>
      <c r="H313" t="s">
        <v>24</v>
      </c>
      <c r="I313" t="s">
        <v>42</v>
      </c>
      <c r="J313" t="s">
        <v>26</v>
      </c>
      <c r="K313" t="s">
        <v>36</v>
      </c>
      <c r="L313">
        <v>385.72</v>
      </c>
      <c r="M313">
        <v>2</v>
      </c>
      <c r="N313" s="2">
        <v>0.05</v>
      </c>
      <c r="O313">
        <v>771.44</v>
      </c>
      <c r="P313">
        <v>38.572000000000003</v>
      </c>
      <c r="Q313">
        <f>Sheet1__3_1_1_1[[#This Row],[Gross_Revenue]]-Sheet1__3_1_1_1[[#This Row],[Discount_Amount]]</f>
        <v>732.86800000000005</v>
      </c>
      <c r="R313">
        <v>351.78</v>
      </c>
      <c r="S313">
        <f>Sheet1__3_1_1_1[[#This Row],[Net_Revenue]]-Sheet1__3_1_1_1[[#This Row],[COGS]]</f>
        <v>381.08800000000008</v>
      </c>
    </row>
    <row r="314" spans="1:19" x14ac:dyDescent="0.25">
      <c r="A314" t="s">
        <v>409</v>
      </c>
      <c r="B314" s="1">
        <v>44701</v>
      </c>
      <c r="C314" t="s">
        <v>29</v>
      </c>
      <c r="D314" t="s">
        <v>30</v>
      </c>
      <c r="E314" t="s">
        <v>66</v>
      </c>
      <c r="F314" t="s">
        <v>31</v>
      </c>
      <c r="G314" t="s">
        <v>93</v>
      </c>
      <c r="H314" t="s">
        <v>41</v>
      </c>
      <c r="I314" t="s">
        <v>48</v>
      </c>
      <c r="J314" t="s">
        <v>49</v>
      </c>
      <c r="K314" t="s">
        <v>36</v>
      </c>
      <c r="L314">
        <v>132.97999999999999</v>
      </c>
      <c r="M314">
        <v>3</v>
      </c>
      <c r="N314" s="2">
        <v>0.2</v>
      </c>
      <c r="O314">
        <v>398.93999999999994</v>
      </c>
      <c r="P314">
        <v>79.787999999999997</v>
      </c>
      <c r="Q314">
        <f>Sheet1__3_1_1_1[[#This Row],[Gross_Revenue]]-Sheet1__3_1_1_1[[#This Row],[Discount_Amount]]</f>
        <v>319.15199999999993</v>
      </c>
      <c r="R314">
        <v>153.19</v>
      </c>
      <c r="S314">
        <f>Sheet1__3_1_1_1[[#This Row],[Net_Revenue]]-Sheet1__3_1_1_1[[#This Row],[COGS]]</f>
        <v>165.96199999999993</v>
      </c>
    </row>
    <row r="315" spans="1:19" x14ac:dyDescent="0.25">
      <c r="A315" t="s">
        <v>410</v>
      </c>
      <c r="B315" s="1">
        <v>44582</v>
      </c>
      <c r="C315" t="s">
        <v>77</v>
      </c>
      <c r="D315" t="s">
        <v>110</v>
      </c>
      <c r="E315" t="s">
        <v>63</v>
      </c>
      <c r="F315" t="s">
        <v>79</v>
      </c>
      <c r="G315" t="s">
        <v>96</v>
      </c>
      <c r="H315" t="s">
        <v>106</v>
      </c>
      <c r="I315" t="s">
        <v>48</v>
      </c>
      <c r="J315" t="s">
        <v>94</v>
      </c>
      <c r="K315" t="s">
        <v>36</v>
      </c>
      <c r="L315">
        <v>469.33</v>
      </c>
      <c r="M315">
        <v>2</v>
      </c>
      <c r="N315" s="2">
        <v>0.15</v>
      </c>
      <c r="O315">
        <v>938.66</v>
      </c>
      <c r="P315">
        <v>140.79899999999998</v>
      </c>
      <c r="Q315">
        <f>Sheet1__3_1_1_1[[#This Row],[Gross_Revenue]]-Sheet1__3_1_1_1[[#This Row],[Discount_Amount]]</f>
        <v>797.86099999999999</v>
      </c>
      <c r="R315">
        <v>494.67</v>
      </c>
      <c r="S315">
        <f>Sheet1__3_1_1_1[[#This Row],[Net_Revenue]]-Sheet1__3_1_1_1[[#This Row],[COGS]]</f>
        <v>303.19099999999997</v>
      </c>
    </row>
    <row r="316" spans="1:19" x14ac:dyDescent="0.25">
      <c r="A316" t="s">
        <v>411</v>
      </c>
      <c r="B316" s="1">
        <v>45099</v>
      </c>
      <c r="C316" t="s">
        <v>19</v>
      </c>
      <c r="D316" t="s">
        <v>91</v>
      </c>
      <c r="E316" t="s">
        <v>21</v>
      </c>
      <c r="F316" t="s">
        <v>22</v>
      </c>
      <c r="G316" t="s">
        <v>113</v>
      </c>
      <c r="H316" t="s">
        <v>24</v>
      </c>
      <c r="I316" t="s">
        <v>34</v>
      </c>
      <c r="J316" t="s">
        <v>94</v>
      </c>
      <c r="K316" t="s">
        <v>143</v>
      </c>
      <c r="L316">
        <v>12.19</v>
      </c>
      <c r="M316">
        <v>18</v>
      </c>
      <c r="N316" s="2">
        <v>0.05</v>
      </c>
      <c r="O316">
        <v>219.42</v>
      </c>
      <c r="P316">
        <v>10.971</v>
      </c>
      <c r="Q316">
        <f>Sheet1__3_1_1_1[[#This Row],[Gross_Revenue]]-Sheet1__3_1_1_1[[#This Row],[Discount_Amount]]</f>
        <v>208.44899999999998</v>
      </c>
      <c r="R316">
        <v>114.65</v>
      </c>
      <c r="S316">
        <f>Sheet1__3_1_1_1[[#This Row],[Net_Revenue]]-Sheet1__3_1_1_1[[#This Row],[COGS]]</f>
        <v>93.798999999999978</v>
      </c>
    </row>
    <row r="317" spans="1:19" x14ac:dyDescent="0.25">
      <c r="A317" t="s">
        <v>412</v>
      </c>
      <c r="B317" s="1">
        <v>45080</v>
      </c>
      <c r="C317" t="s">
        <v>44</v>
      </c>
      <c r="D317" t="s">
        <v>51</v>
      </c>
      <c r="E317" t="s">
        <v>21</v>
      </c>
      <c r="F317" t="s">
        <v>22</v>
      </c>
      <c r="G317" t="s">
        <v>149</v>
      </c>
      <c r="H317" t="s">
        <v>57</v>
      </c>
      <c r="I317" t="s">
        <v>60</v>
      </c>
      <c r="J317" t="s">
        <v>49</v>
      </c>
      <c r="K317" t="s">
        <v>53</v>
      </c>
      <c r="L317">
        <v>25.3</v>
      </c>
      <c r="M317">
        <v>11</v>
      </c>
      <c r="N317" s="2">
        <v>0.05</v>
      </c>
      <c r="O317">
        <v>278.3</v>
      </c>
      <c r="P317">
        <v>13.915000000000001</v>
      </c>
      <c r="Q317">
        <f>Sheet1__3_1_1_1[[#This Row],[Gross_Revenue]]-Sheet1__3_1_1_1[[#This Row],[Discount_Amount]]</f>
        <v>264.38499999999999</v>
      </c>
      <c r="R317">
        <v>145.41</v>
      </c>
      <c r="S317">
        <f>Sheet1__3_1_1_1[[#This Row],[Net_Revenue]]-Sheet1__3_1_1_1[[#This Row],[COGS]]</f>
        <v>118.97499999999999</v>
      </c>
    </row>
    <row r="318" spans="1:19" x14ac:dyDescent="0.25">
      <c r="A318" t="s">
        <v>413</v>
      </c>
      <c r="B318" s="1">
        <v>44947</v>
      </c>
      <c r="C318" t="s">
        <v>19</v>
      </c>
      <c r="D318" t="s">
        <v>91</v>
      </c>
      <c r="E318" t="s">
        <v>66</v>
      </c>
      <c r="F318" t="s">
        <v>31</v>
      </c>
      <c r="G318" t="s">
        <v>122</v>
      </c>
      <c r="H318" t="s">
        <v>59</v>
      </c>
      <c r="I318" t="s">
        <v>25</v>
      </c>
      <c r="J318" t="s">
        <v>94</v>
      </c>
      <c r="K318" t="s">
        <v>36</v>
      </c>
      <c r="L318">
        <v>510.6</v>
      </c>
      <c r="M318">
        <v>2</v>
      </c>
      <c r="N318" s="2">
        <v>0</v>
      </c>
      <c r="O318">
        <v>1021.2</v>
      </c>
      <c r="P318">
        <v>0</v>
      </c>
      <c r="Q318">
        <f>Sheet1__3_1_1_1[[#This Row],[Gross_Revenue]]-Sheet1__3_1_1_1[[#This Row],[Discount_Amount]]</f>
        <v>1021.2</v>
      </c>
      <c r="R318">
        <v>490.18</v>
      </c>
      <c r="S318">
        <f>Sheet1__3_1_1_1[[#This Row],[Net_Revenue]]-Sheet1__3_1_1_1[[#This Row],[COGS]]</f>
        <v>531.02</v>
      </c>
    </row>
    <row r="319" spans="1:19" x14ac:dyDescent="0.25">
      <c r="A319" t="s">
        <v>414</v>
      </c>
      <c r="B319" s="1">
        <v>45130</v>
      </c>
      <c r="C319" t="s">
        <v>77</v>
      </c>
      <c r="D319" t="s">
        <v>78</v>
      </c>
      <c r="E319" t="s">
        <v>63</v>
      </c>
      <c r="F319" t="s">
        <v>55</v>
      </c>
      <c r="G319" t="s">
        <v>67</v>
      </c>
      <c r="H319" t="s">
        <v>71</v>
      </c>
      <c r="I319" t="s">
        <v>60</v>
      </c>
      <c r="J319" t="s">
        <v>35</v>
      </c>
      <c r="K319" t="s">
        <v>36</v>
      </c>
      <c r="L319">
        <v>77.650000000000006</v>
      </c>
      <c r="M319">
        <v>3</v>
      </c>
      <c r="N319" s="2">
        <v>0.15</v>
      </c>
      <c r="O319">
        <v>232.95000000000002</v>
      </c>
      <c r="P319">
        <v>34.942500000000003</v>
      </c>
      <c r="Q319">
        <f>Sheet1__3_1_1_1[[#This Row],[Gross_Revenue]]-Sheet1__3_1_1_1[[#This Row],[Discount_Amount]]</f>
        <v>198.00750000000002</v>
      </c>
      <c r="R319">
        <v>83.16</v>
      </c>
      <c r="S319">
        <f>Sheet1__3_1_1_1[[#This Row],[Net_Revenue]]-Sheet1__3_1_1_1[[#This Row],[COGS]]</f>
        <v>114.84750000000003</v>
      </c>
    </row>
    <row r="320" spans="1:19" x14ac:dyDescent="0.25">
      <c r="A320" t="s">
        <v>415</v>
      </c>
      <c r="B320" s="1">
        <v>44650</v>
      </c>
      <c r="C320" t="s">
        <v>29</v>
      </c>
      <c r="D320" t="s">
        <v>38</v>
      </c>
      <c r="E320" t="s">
        <v>21</v>
      </c>
      <c r="F320" t="s">
        <v>79</v>
      </c>
      <c r="G320" t="s">
        <v>172</v>
      </c>
      <c r="H320" t="s">
        <v>87</v>
      </c>
      <c r="I320" t="s">
        <v>25</v>
      </c>
      <c r="J320" t="s">
        <v>26</v>
      </c>
      <c r="K320" t="s">
        <v>53</v>
      </c>
      <c r="L320">
        <v>408.25</v>
      </c>
      <c r="M320">
        <v>4</v>
      </c>
      <c r="N320" s="2">
        <v>0</v>
      </c>
      <c r="O320">
        <v>1633</v>
      </c>
      <c r="P320">
        <v>0</v>
      </c>
      <c r="Q320">
        <f>Sheet1__3_1_1_1[[#This Row],[Gross_Revenue]]-Sheet1__3_1_1_1[[#This Row],[Discount_Amount]]</f>
        <v>1633</v>
      </c>
      <c r="R320">
        <v>1012.46</v>
      </c>
      <c r="S320">
        <f>Sheet1__3_1_1_1[[#This Row],[Net_Revenue]]-Sheet1__3_1_1_1[[#This Row],[COGS]]</f>
        <v>620.54</v>
      </c>
    </row>
    <row r="321" spans="1:19" x14ac:dyDescent="0.25">
      <c r="A321" t="s">
        <v>416</v>
      </c>
      <c r="B321" s="1">
        <v>44831</v>
      </c>
      <c r="C321" t="s">
        <v>29</v>
      </c>
      <c r="D321" t="s">
        <v>38</v>
      </c>
      <c r="E321" t="s">
        <v>63</v>
      </c>
      <c r="F321" t="s">
        <v>69</v>
      </c>
      <c r="G321" t="s">
        <v>101</v>
      </c>
      <c r="H321" t="s">
        <v>41</v>
      </c>
      <c r="I321" t="s">
        <v>34</v>
      </c>
      <c r="J321" t="s">
        <v>35</v>
      </c>
      <c r="K321" t="s">
        <v>143</v>
      </c>
      <c r="L321">
        <v>7.85</v>
      </c>
      <c r="M321">
        <v>17</v>
      </c>
      <c r="N321" s="2">
        <v>0</v>
      </c>
      <c r="O321">
        <v>133.44999999999999</v>
      </c>
      <c r="P321">
        <v>0</v>
      </c>
      <c r="Q321">
        <f>Sheet1__3_1_1_1[[#This Row],[Gross_Revenue]]-Sheet1__3_1_1_1[[#This Row],[Discount_Amount]]</f>
        <v>133.44999999999999</v>
      </c>
      <c r="R321">
        <v>50.71</v>
      </c>
      <c r="S321">
        <f>Sheet1__3_1_1_1[[#This Row],[Net_Revenue]]-Sheet1__3_1_1_1[[#This Row],[COGS]]</f>
        <v>82.739999999999981</v>
      </c>
    </row>
    <row r="322" spans="1:19" x14ac:dyDescent="0.25">
      <c r="A322" t="s">
        <v>417</v>
      </c>
      <c r="B322" s="1">
        <v>45129</v>
      </c>
      <c r="C322" t="s">
        <v>77</v>
      </c>
      <c r="D322" t="s">
        <v>78</v>
      </c>
      <c r="E322" t="s">
        <v>63</v>
      </c>
      <c r="F322" t="s">
        <v>55</v>
      </c>
      <c r="G322" t="s">
        <v>67</v>
      </c>
      <c r="H322" t="s">
        <v>24</v>
      </c>
      <c r="I322" t="s">
        <v>25</v>
      </c>
      <c r="J322" t="s">
        <v>26</v>
      </c>
      <c r="K322" t="s">
        <v>36</v>
      </c>
      <c r="L322">
        <v>87.46</v>
      </c>
      <c r="M322">
        <v>8</v>
      </c>
      <c r="N322" s="2">
        <v>0.15</v>
      </c>
      <c r="O322">
        <v>699.68</v>
      </c>
      <c r="P322">
        <v>104.95199999999998</v>
      </c>
      <c r="Q322">
        <f>Sheet1__3_1_1_1[[#This Row],[Gross_Revenue]]-Sheet1__3_1_1_1[[#This Row],[Discount_Amount]]</f>
        <v>594.72799999999995</v>
      </c>
      <c r="R322">
        <v>249.79</v>
      </c>
      <c r="S322">
        <f>Sheet1__3_1_1_1[[#This Row],[Net_Revenue]]-Sheet1__3_1_1_1[[#This Row],[COGS]]</f>
        <v>344.93799999999999</v>
      </c>
    </row>
    <row r="323" spans="1:19" x14ac:dyDescent="0.25">
      <c r="A323" t="s">
        <v>418</v>
      </c>
      <c r="B323" s="1">
        <v>45259</v>
      </c>
      <c r="C323" t="s">
        <v>99</v>
      </c>
      <c r="D323" t="s">
        <v>100</v>
      </c>
      <c r="E323" t="s">
        <v>21</v>
      </c>
      <c r="F323" t="s">
        <v>69</v>
      </c>
      <c r="G323" t="s">
        <v>73</v>
      </c>
      <c r="H323" t="s">
        <v>47</v>
      </c>
      <c r="I323" t="s">
        <v>60</v>
      </c>
      <c r="J323" t="s">
        <v>26</v>
      </c>
      <c r="K323" t="s">
        <v>53</v>
      </c>
      <c r="L323">
        <v>10.51</v>
      </c>
      <c r="M323">
        <v>10</v>
      </c>
      <c r="N323" s="2">
        <v>0</v>
      </c>
      <c r="O323">
        <v>105.1</v>
      </c>
      <c r="P323">
        <v>0</v>
      </c>
      <c r="Q323">
        <f>Sheet1__3_1_1_1[[#This Row],[Gross_Revenue]]-Sheet1__3_1_1_1[[#This Row],[Discount_Amount]]</f>
        <v>105.1</v>
      </c>
      <c r="R323">
        <v>39.94</v>
      </c>
      <c r="S323">
        <f>Sheet1__3_1_1_1[[#This Row],[Net_Revenue]]-Sheet1__3_1_1_1[[#This Row],[COGS]]</f>
        <v>65.16</v>
      </c>
    </row>
    <row r="324" spans="1:19" x14ac:dyDescent="0.25">
      <c r="A324" t="s">
        <v>419</v>
      </c>
      <c r="B324" s="1">
        <v>45052</v>
      </c>
      <c r="C324" t="s">
        <v>77</v>
      </c>
      <c r="D324" t="s">
        <v>110</v>
      </c>
      <c r="E324" t="s">
        <v>66</v>
      </c>
      <c r="F324" t="s">
        <v>22</v>
      </c>
      <c r="G324" t="s">
        <v>23</v>
      </c>
      <c r="H324" t="s">
        <v>111</v>
      </c>
      <c r="I324" t="s">
        <v>48</v>
      </c>
      <c r="J324" t="s">
        <v>35</v>
      </c>
      <c r="K324" t="s">
        <v>27</v>
      </c>
      <c r="L324">
        <v>17.54</v>
      </c>
      <c r="M324">
        <v>8</v>
      </c>
      <c r="N324" s="2">
        <v>0</v>
      </c>
      <c r="O324">
        <v>140.32</v>
      </c>
      <c r="P324">
        <v>0</v>
      </c>
      <c r="Q324">
        <f>Sheet1__3_1_1_1[[#This Row],[Gross_Revenue]]-Sheet1__3_1_1_1[[#This Row],[Discount_Amount]]</f>
        <v>140.32</v>
      </c>
      <c r="R324">
        <v>77.180000000000007</v>
      </c>
      <c r="S324">
        <f>Sheet1__3_1_1_1[[#This Row],[Net_Revenue]]-Sheet1__3_1_1_1[[#This Row],[COGS]]</f>
        <v>63.139999999999986</v>
      </c>
    </row>
    <row r="325" spans="1:19" x14ac:dyDescent="0.25">
      <c r="A325" t="s">
        <v>420</v>
      </c>
      <c r="B325" s="1">
        <v>45182</v>
      </c>
      <c r="C325" t="s">
        <v>44</v>
      </c>
      <c r="D325" t="s">
        <v>65</v>
      </c>
      <c r="E325" t="s">
        <v>21</v>
      </c>
      <c r="F325" t="s">
        <v>69</v>
      </c>
      <c r="G325" t="s">
        <v>73</v>
      </c>
      <c r="H325" t="s">
        <v>41</v>
      </c>
      <c r="I325" t="s">
        <v>60</v>
      </c>
      <c r="J325" t="s">
        <v>94</v>
      </c>
      <c r="K325" t="s">
        <v>27</v>
      </c>
      <c r="L325">
        <v>13.05</v>
      </c>
      <c r="M325">
        <v>17</v>
      </c>
      <c r="N325" s="2">
        <v>0.2</v>
      </c>
      <c r="O325">
        <v>221.85000000000002</v>
      </c>
      <c r="P325">
        <v>44.370000000000005</v>
      </c>
      <c r="Q325">
        <f>Sheet1__3_1_1_1[[#This Row],[Gross_Revenue]]-Sheet1__3_1_1_1[[#This Row],[Discount_Amount]]</f>
        <v>177.48000000000002</v>
      </c>
      <c r="R325">
        <v>67.44</v>
      </c>
      <c r="S325">
        <f>Sheet1__3_1_1_1[[#This Row],[Net_Revenue]]-Sheet1__3_1_1_1[[#This Row],[COGS]]</f>
        <v>110.04000000000002</v>
      </c>
    </row>
    <row r="326" spans="1:19" x14ac:dyDescent="0.25">
      <c r="A326" t="s">
        <v>421</v>
      </c>
      <c r="B326" s="1">
        <v>44624</v>
      </c>
      <c r="C326" t="s">
        <v>44</v>
      </c>
      <c r="D326" t="s">
        <v>45</v>
      </c>
      <c r="E326" t="s">
        <v>39</v>
      </c>
      <c r="F326" t="s">
        <v>69</v>
      </c>
      <c r="G326" t="s">
        <v>190</v>
      </c>
      <c r="H326" t="s">
        <v>106</v>
      </c>
      <c r="I326" t="s">
        <v>25</v>
      </c>
      <c r="J326" t="s">
        <v>94</v>
      </c>
      <c r="K326" t="s">
        <v>53</v>
      </c>
      <c r="L326">
        <v>17.18</v>
      </c>
      <c r="M326">
        <v>2</v>
      </c>
      <c r="N326" s="2">
        <v>0</v>
      </c>
      <c r="O326">
        <v>34.36</v>
      </c>
      <c r="P326">
        <v>0</v>
      </c>
      <c r="Q326">
        <f>Sheet1__3_1_1_1[[#This Row],[Gross_Revenue]]-Sheet1__3_1_1_1[[#This Row],[Discount_Amount]]</f>
        <v>34.36</v>
      </c>
      <c r="R326">
        <v>13.06</v>
      </c>
      <c r="S326">
        <f>Sheet1__3_1_1_1[[#This Row],[Net_Revenue]]-Sheet1__3_1_1_1[[#This Row],[COGS]]</f>
        <v>21.299999999999997</v>
      </c>
    </row>
    <row r="327" spans="1:19" x14ac:dyDescent="0.25">
      <c r="A327" t="s">
        <v>422</v>
      </c>
      <c r="B327" s="1">
        <v>45144</v>
      </c>
      <c r="C327" t="s">
        <v>99</v>
      </c>
      <c r="D327" t="s">
        <v>100</v>
      </c>
      <c r="E327" t="s">
        <v>63</v>
      </c>
      <c r="F327" t="s">
        <v>79</v>
      </c>
      <c r="G327" t="s">
        <v>96</v>
      </c>
      <c r="H327" t="s">
        <v>108</v>
      </c>
      <c r="I327" t="s">
        <v>60</v>
      </c>
      <c r="J327" t="s">
        <v>94</v>
      </c>
      <c r="K327" t="s">
        <v>143</v>
      </c>
      <c r="L327">
        <v>435.24</v>
      </c>
      <c r="M327">
        <v>5</v>
      </c>
      <c r="N327" s="2">
        <v>0</v>
      </c>
      <c r="O327">
        <v>2176.1999999999998</v>
      </c>
      <c r="P327">
        <v>0</v>
      </c>
      <c r="Q327">
        <f>Sheet1__3_1_1_1[[#This Row],[Gross_Revenue]]-Sheet1__3_1_1_1[[#This Row],[Discount_Amount]]</f>
        <v>2176.1999999999998</v>
      </c>
      <c r="R327">
        <v>1349.24</v>
      </c>
      <c r="S327">
        <f>Sheet1__3_1_1_1[[#This Row],[Net_Revenue]]-Sheet1__3_1_1_1[[#This Row],[COGS]]</f>
        <v>826.95999999999981</v>
      </c>
    </row>
    <row r="328" spans="1:19" x14ac:dyDescent="0.25">
      <c r="A328" t="s">
        <v>423</v>
      </c>
      <c r="B328" s="1">
        <v>45021</v>
      </c>
      <c r="C328" t="s">
        <v>77</v>
      </c>
      <c r="D328" t="s">
        <v>110</v>
      </c>
      <c r="E328" t="s">
        <v>21</v>
      </c>
      <c r="F328" t="s">
        <v>69</v>
      </c>
      <c r="G328" t="s">
        <v>73</v>
      </c>
      <c r="H328" t="s">
        <v>52</v>
      </c>
      <c r="I328" t="s">
        <v>34</v>
      </c>
      <c r="J328" t="s">
        <v>49</v>
      </c>
      <c r="K328" t="s">
        <v>27</v>
      </c>
      <c r="L328">
        <v>14.79</v>
      </c>
      <c r="M328">
        <v>14</v>
      </c>
      <c r="N328" s="2">
        <v>0.1</v>
      </c>
      <c r="O328">
        <v>207.06</v>
      </c>
      <c r="P328">
        <v>20.706000000000003</v>
      </c>
      <c r="Q328">
        <f>Sheet1__3_1_1_1[[#This Row],[Gross_Revenue]]-Sheet1__3_1_1_1[[#This Row],[Discount_Amount]]</f>
        <v>186.35399999999998</v>
      </c>
      <c r="R328">
        <v>70.81</v>
      </c>
      <c r="S328">
        <f>Sheet1__3_1_1_1[[#This Row],[Net_Revenue]]-Sheet1__3_1_1_1[[#This Row],[COGS]]</f>
        <v>115.54399999999998</v>
      </c>
    </row>
    <row r="329" spans="1:19" x14ac:dyDescent="0.25">
      <c r="A329" t="s">
        <v>424</v>
      </c>
      <c r="B329" s="1">
        <v>44592</v>
      </c>
      <c r="C329" t="s">
        <v>19</v>
      </c>
      <c r="D329" t="s">
        <v>91</v>
      </c>
      <c r="E329" t="s">
        <v>63</v>
      </c>
      <c r="F329" t="s">
        <v>55</v>
      </c>
      <c r="G329" t="s">
        <v>56</v>
      </c>
      <c r="H329" t="s">
        <v>41</v>
      </c>
      <c r="I329" t="s">
        <v>48</v>
      </c>
      <c r="J329" t="s">
        <v>35</v>
      </c>
      <c r="K329" t="s">
        <v>36</v>
      </c>
      <c r="L329">
        <v>42.71</v>
      </c>
      <c r="M329">
        <v>4</v>
      </c>
      <c r="N329" s="2">
        <v>0</v>
      </c>
      <c r="O329">
        <v>170.84</v>
      </c>
      <c r="P329">
        <v>0</v>
      </c>
      <c r="Q329">
        <f>Sheet1__3_1_1_1[[#This Row],[Gross_Revenue]]-Sheet1__3_1_1_1[[#This Row],[Discount_Amount]]</f>
        <v>170.84</v>
      </c>
      <c r="R329">
        <v>71.75</v>
      </c>
      <c r="S329">
        <f>Sheet1__3_1_1_1[[#This Row],[Net_Revenue]]-Sheet1__3_1_1_1[[#This Row],[COGS]]</f>
        <v>99.09</v>
      </c>
    </row>
    <row r="330" spans="1:19" x14ac:dyDescent="0.25">
      <c r="A330" t="s">
        <v>425</v>
      </c>
      <c r="B330" s="1">
        <v>45184</v>
      </c>
      <c r="C330" t="s">
        <v>29</v>
      </c>
      <c r="D330" t="s">
        <v>38</v>
      </c>
      <c r="E330" t="s">
        <v>39</v>
      </c>
      <c r="F330" t="s">
        <v>31</v>
      </c>
      <c r="G330" t="s">
        <v>93</v>
      </c>
      <c r="H330" t="s">
        <v>106</v>
      </c>
      <c r="I330" t="s">
        <v>60</v>
      </c>
      <c r="J330" t="s">
        <v>26</v>
      </c>
      <c r="K330" t="s">
        <v>143</v>
      </c>
      <c r="L330" t="s">
        <v>1147</v>
      </c>
      <c r="M330">
        <v>3</v>
      </c>
      <c r="N330" s="2">
        <v>0</v>
      </c>
      <c r="O330">
        <v>0</v>
      </c>
      <c r="P330">
        <v>0</v>
      </c>
      <c r="Q330">
        <f>Sheet1__3_1_1_1[[#This Row],[Gross_Revenue]]-Sheet1__3_1_1_1[[#This Row],[Discount_Amount]]</f>
        <v>0</v>
      </c>
      <c r="R330" t="s">
        <v>1147</v>
      </c>
      <c r="S330" t="e">
        <f>Sheet1__3_1_1_1[[#This Row],[Net_Revenue]]-Sheet1__3_1_1_1[[#This Row],[COGS]]</f>
        <v>#VALUE!</v>
      </c>
    </row>
    <row r="331" spans="1:19" x14ac:dyDescent="0.25">
      <c r="A331" t="s">
        <v>426</v>
      </c>
      <c r="B331" s="1">
        <v>44636</v>
      </c>
      <c r="C331" t="s">
        <v>19</v>
      </c>
      <c r="D331" t="s">
        <v>20</v>
      </c>
      <c r="E331" t="s">
        <v>21</v>
      </c>
      <c r="F331" t="s">
        <v>79</v>
      </c>
      <c r="G331" t="s">
        <v>96</v>
      </c>
      <c r="H331" t="s">
        <v>24</v>
      </c>
      <c r="I331" t="s">
        <v>60</v>
      </c>
      <c r="J331" t="s">
        <v>89</v>
      </c>
      <c r="K331" t="s">
        <v>53</v>
      </c>
      <c r="L331">
        <v>397.14</v>
      </c>
      <c r="M331">
        <v>4</v>
      </c>
      <c r="N331" s="2">
        <v>0</v>
      </c>
      <c r="O331">
        <v>1588.56</v>
      </c>
      <c r="P331">
        <v>0</v>
      </c>
      <c r="Q331">
        <f>Sheet1__3_1_1_1[[#This Row],[Gross_Revenue]]-Sheet1__3_1_1_1[[#This Row],[Discount_Amount]]</f>
        <v>1588.56</v>
      </c>
      <c r="R331">
        <v>984.91</v>
      </c>
      <c r="S331">
        <f>Sheet1__3_1_1_1[[#This Row],[Net_Revenue]]-Sheet1__3_1_1_1[[#This Row],[COGS]]</f>
        <v>603.65</v>
      </c>
    </row>
    <row r="332" spans="1:19" x14ac:dyDescent="0.25">
      <c r="A332" t="s">
        <v>427</v>
      </c>
      <c r="B332" s="1">
        <v>44895</v>
      </c>
      <c r="C332" t="s">
        <v>77</v>
      </c>
      <c r="D332" t="s">
        <v>78</v>
      </c>
      <c r="E332" t="s">
        <v>66</v>
      </c>
      <c r="F332" t="s">
        <v>55</v>
      </c>
      <c r="G332" t="s">
        <v>120</v>
      </c>
      <c r="H332" t="s">
        <v>24</v>
      </c>
      <c r="I332" t="s">
        <v>48</v>
      </c>
      <c r="J332" t="s">
        <v>35</v>
      </c>
      <c r="K332" t="s">
        <v>27</v>
      </c>
      <c r="L332">
        <v>123.5</v>
      </c>
      <c r="M332">
        <v>1</v>
      </c>
      <c r="N332" s="2">
        <v>0.15</v>
      </c>
      <c r="O332">
        <v>123.5</v>
      </c>
      <c r="P332">
        <v>18.524999999999999</v>
      </c>
      <c r="Q332">
        <f>Sheet1__3_1_1_1[[#This Row],[Gross_Revenue]]-Sheet1__3_1_1_1[[#This Row],[Discount_Amount]]</f>
        <v>104.97499999999999</v>
      </c>
      <c r="R332">
        <v>44.09</v>
      </c>
      <c r="S332">
        <f>Sheet1__3_1_1_1[[#This Row],[Net_Revenue]]-Sheet1__3_1_1_1[[#This Row],[COGS]]</f>
        <v>60.884999999999991</v>
      </c>
    </row>
    <row r="333" spans="1:19" x14ac:dyDescent="0.25">
      <c r="A333" t="s">
        <v>428</v>
      </c>
      <c r="B333" s="1">
        <v>45030</v>
      </c>
      <c r="C333" t="s">
        <v>99</v>
      </c>
      <c r="D333" t="s">
        <v>100</v>
      </c>
      <c r="E333" t="s">
        <v>66</v>
      </c>
      <c r="F333" t="s">
        <v>31</v>
      </c>
      <c r="G333" t="s">
        <v>166</v>
      </c>
      <c r="H333" t="s">
        <v>87</v>
      </c>
      <c r="I333" t="s">
        <v>25</v>
      </c>
      <c r="J333" t="s">
        <v>26</v>
      </c>
      <c r="K333" t="s">
        <v>36</v>
      </c>
      <c r="L333">
        <v>271.8</v>
      </c>
      <c r="M333">
        <v>4</v>
      </c>
      <c r="N333" s="2">
        <v>0.15</v>
      </c>
      <c r="O333">
        <v>1087.2</v>
      </c>
      <c r="P333">
        <v>163.08000000000001</v>
      </c>
      <c r="Q333">
        <f>Sheet1__3_1_1_1[[#This Row],[Gross_Revenue]]-Sheet1__3_1_1_1[[#This Row],[Discount_Amount]]</f>
        <v>924.12</v>
      </c>
      <c r="R333">
        <v>443.58</v>
      </c>
      <c r="S333">
        <f>Sheet1__3_1_1_1[[#This Row],[Net_Revenue]]-Sheet1__3_1_1_1[[#This Row],[COGS]]</f>
        <v>480.54</v>
      </c>
    </row>
    <row r="334" spans="1:19" x14ac:dyDescent="0.25">
      <c r="A334" t="s">
        <v>429</v>
      </c>
      <c r="B334" s="1">
        <v>44888</v>
      </c>
      <c r="C334" t="s">
        <v>99</v>
      </c>
      <c r="D334" t="s">
        <v>100</v>
      </c>
      <c r="E334" t="s">
        <v>66</v>
      </c>
      <c r="F334" t="s">
        <v>55</v>
      </c>
      <c r="G334" t="s">
        <v>103</v>
      </c>
      <c r="H334" t="s">
        <v>52</v>
      </c>
      <c r="I334" t="s">
        <v>34</v>
      </c>
      <c r="J334" t="s">
        <v>89</v>
      </c>
      <c r="K334" t="s">
        <v>27</v>
      </c>
      <c r="L334">
        <v>172.98</v>
      </c>
      <c r="M334">
        <v>8</v>
      </c>
      <c r="N334" s="2">
        <v>0</v>
      </c>
      <c r="O334">
        <v>1383.84</v>
      </c>
      <c r="P334">
        <v>0</v>
      </c>
      <c r="Q334">
        <f>Sheet1__3_1_1_1[[#This Row],[Gross_Revenue]]-Sheet1__3_1_1_1[[#This Row],[Discount_Amount]]</f>
        <v>1383.84</v>
      </c>
      <c r="R334">
        <v>581.21</v>
      </c>
      <c r="S334">
        <f>Sheet1__3_1_1_1[[#This Row],[Net_Revenue]]-Sheet1__3_1_1_1[[#This Row],[COGS]]</f>
        <v>802.62999999999988</v>
      </c>
    </row>
    <row r="335" spans="1:19" x14ac:dyDescent="0.25">
      <c r="A335" t="s">
        <v>430</v>
      </c>
      <c r="B335" s="1">
        <v>45273</v>
      </c>
      <c r="C335" t="s">
        <v>44</v>
      </c>
      <c r="D335" t="s">
        <v>51</v>
      </c>
      <c r="E335" t="s">
        <v>21</v>
      </c>
      <c r="F335" t="s">
        <v>22</v>
      </c>
      <c r="G335" t="s">
        <v>75</v>
      </c>
      <c r="H335" t="s">
        <v>52</v>
      </c>
      <c r="I335" t="s">
        <v>48</v>
      </c>
      <c r="J335" t="s">
        <v>35</v>
      </c>
      <c r="K335" t="s">
        <v>53</v>
      </c>
      <c r="L335">
        <v>8.86</v>
      </c>
      <c r="M335">
        <v>16</v>
      </c>
      <c r="N335" s="2">
        <v>0</v>
      </c>
      <c r="O335">
        <v>141.76</v>
      </c>
      <c r="P335">
        <v>0</v>
      </c>
      <c r="Q335">
        <f>Sheet1__3_1_1_1[[#This Row],[Gross_Revenue]]-Sheet1__3_1_1_1[[#This Row],[Discount_Amount]]</f>
        <v>141.76</v>
      </c>
      <c r="R335">
        <v>77.97</v>
      </c>
      <c r="S335">
        <f>Sheet1__3_1_1_1[[#This Row],[Net_Revenue]]-Sheet1__3_1_1_1[[#This Row],[COGS]]</f>
        <v>63.789999999999992</v>
      </c>
    </row>
    <row r="336" spans="1:19" x14ac:dyDescent="0.25">
      <c r="A336" t="s">
        <v>431</v>
      </c>
      <c r="B336" s="1">
        <v>44953</v>
      </c>
      <c r="C336" t="s">
        <v>77</v>
      </c>
      <c r="D336" t="s">
        <v>110</v>
      </c>
      <c r="E336" t="s">
        <v>63</v>
      </c>
      <c r="F336" t="s">
        <v>79</v>
      </c>
      <c r="G336" t="s">
        <v>96</v>
      </c>
      <c r="H336" t="s">
        <v>57</v>
      </c>
      <c r="I336" t="s">
        <v>60</v>
      </c>
      <c r="J336" t="s">
        <v>94</v>
      </c>
      <c r="K336" t="s">
        <v>36</v>
      </c>
      <c r="L336">
        <v>492.45</v>
      </c>
      <c r="M336">
        <v>4</v>
      </c>
      <c r="N336" s="2">
        <v>0</v>
      </c>
      <c r="O336">
        <v>1969.8</v>
      </c>
      <c r="P336">
        <v>0</v>
      </c>
      <c r="Q336">
        <f>Sheet1__3_1_1_1[[#This Row],[Gross_Revenue]]-Sheet1__3_1_1_1[[#This Row],[Discount_Amount]]</f>
        <v>1969.8</v>
      </c>
      <c r="R336">
        <v>1221.28</v>
      </c>
      <c r="S336">
        <f>Sheet1__3_1_1_1[[#This Row],[Net_Revenue]]-Sheet1__3_1_1_1[[#This Row],[COGS]]</f>
        <v>748.52</v>
      </c>
    </row>
    <row r="337" spans="1:19" x14ac:dyDescent="0.25">
      <c r="A337" t="s">
        <v>432</v>
      </c>
      <c r="B337" s="1">
        <v>44851</v>
      </c>
      <c r="C337" t="s">
        <v>77</v>
      </c>
      <c r="D337" t="s">
        <v>110</v>
      </c>
      <c r="E337" t="s">
        <v>63</v>
      </c>
      <c r="F337" t="s">
        <v>55</v>
      </c>
      <c r="G337" t="s">
        <v>56</v>
      </c>
      <c r="H337" t="s">
        <v>24</v>
      </c>
      <c r="I337" t="s">
        <v>42</v>
      </c>
      <c r="J337" t="s">
        <v>94</v>
      </c>
      <c r="K337" t="s">
        <v>143</v>
      </c>
      <c r="L337">
        <v>42.24</v>
      </c>
      <c r="M337">
        <v>3</v>
      </c>
      <c r="N337" s="2">
        <v>0.2</v>
      </c>
      <c r="O337">
        <v>126.72</v>
      </c>
      <c r="P337">
        <v>25.344000000000001</v>
      </c>
      <c r="Q337">
        <f>Sheet1__3_1_1_1[[#This Row],[Gross_Revenue]]-Sheet1__3_1_1_1[[#This Row],[Discount_Amount]]</f>
        <v>101.376</v>
      </c>
      <c r="R337">
        <v>42.58</v>
      </c>
      <c r="S337">
        <f>Sheet1__3_1_1_1[[#This Row],[Net_Revenue]]-Sheet1__3_1_1_1[[#This Row],[COGS]]</f>
        <v>58.796000000000006</v>
      </c>
    </row>
    <row r="338" spans="1:19" x14ac:dyDescent="0.25">
      <c r="A338" t="s">
        <v>433</v>
      </c>
      <c r="B338" s="1">
        <v>44995</v>
      </c>
      <c r="C338" t="s">
        <v>77</v>
      </c>
      <c r="D338" t="s">
        <v>110</v>
      </c>
      <c r="E338" t="s">
        <v>63</v>
      </c>
      <c r="F338" t="s">
        <v>79</v>
      </c>
      <c r="G338" t="s">
        <v>172</v>
      </c>
      <c r="H338" t="s">
        <v>41</v>
      </c>
      <c r="I338" t="s">
        <v>25</v>
      </c>
      <c r="J338" t="s">
        <v>35</v>
      </c>
      <c r="K338" t="s">
        <v>53</v>
      </c>
      <c r="L338">
        <v>395.25</v>
      </c>
      <c r="N338" s="2">
        <v>0</v>
      </c>
      <c r="O338">
        <v>0</v>
      </c>
      <c r="P338">
        <v>0</v>
      </c>
      <c r="Q338">
        <f>Sheet1__3_1_1_1[[#This Row],[Gross_Revenue]]-Sheet1__3_1_1_1[[#This Row],[Discount_Amount]]</f>
        <v>0</v>
      </c>
      <c r="R338" t="s">
        <v>1147</v>
      </c>
      <c r="S338" t="e">
        <f>Sheet1__3_1_1_1[[#This Row],[Net_Revenue]]-Sheet1__3_1_1_1[[#This Row],[COGS]]</f>
        <v>#VALUE!</v>
      </c>
    </row>
    <row r="339" spans="1:19" x14ac:dyDescent="0.25">
      <c r="A339" t="s">
        <v>434</v>
      </c>
      <c r="B339" s="1">
        <v>44683</v>
      </c>
      <c r="C339" t="s">
        <v>44</v>
      </c>
      <c r="D339" t="s">
        <v>65</v>
      </c>
      <c r="E339" t="s">
        <v>63</v>
      </c>
      <c r="F339" t="s">
        <v>22</v>
      </c>
      <c r="G339" t="s">
        <v>149</v>
      </c>
      <c r="H339" t="s">
        <v>87</v>
      </c>
      <c r="I339" t="s">
        <v>48</v>
      </c>
      <c r="J339" t="s">
        <v>49</v>
      </c>
      <c r="K339" t="s">
        <v>143</v>
      </c>
      <c r="L339">
        <v>21.85</v>
      </c>
      <c r="M339">
        <v>17</v>
      </c>
      <c r="N339" s="2">
        <v>0</v>
      </c>
      <c r="O339">
        <v>371.45000000000005</v>
      </c>
      <c r="P339">
        <v>0</v>
      </c>
      <c r="Q339">
        <f>Sheet1__3_1_1_1[[#This Row],[Gross_Revenue]]-Sheet1__3_1_1_1[[#This Row],[Discount_Amount]]</f>
        <v>371.45000000000005</v>
      </c>
      <c r="R339">
        <v>204.3</v>
      </c>
      <c r="S339">
        <f>Sheet1__3_1_1_1[[#This Row],[Net_Revenue]]-Sheet1__3_1_1_1[[#This Row],[COGS]]</f>
        <v>167.15000000000003</v>
      </c>
    </row>
    <row r="340" spans="1:19" x14ac:dyDescent="0.25">
      <c r="A340" t="s">
        <v>435</v>
      </c>
      <c r="B340" s="1">
        <v>45271</v>
      </c>
      <c r="C340" t="s">
        <v>29</v>
      </c>
      <c r="D340" t="s">
        <v>30</v>
      </c>
      <c r="E340" t="s">
        <v>66</v>
      </c>
      <c r="F340" t="s">
        <v>55</v>
      </c>
      <c r="G340" t="s">
        <v>67</v>
      </c>
      <c r="H340" t="s">
        <v>52</v>
      </c>
      <c r="I340" t="s">
        <v>42</v>
      </c>
      <c r="J340" t="s">
        <v>35</v>
      </c>
      <c r="K340" t="s">
        <v>36</v>
      </c>
      <c r="L340">
        <v>79.53</v>
      </c>
      <c r="M340">
        <v>7</v>
      </c>
      <c r="N340" s="2">
        <v>0</v>
      </c>
      <c r="O340">
        <v>556.71</v>
      </c>
      <c r="P340">
        <v>0</v>
      </c>
      <c r="Q340">
        <f>Sheet1__3_1_1_1[[#This Row],[Gross_Revenue]]-Sheet1__3_1_1_1[[#This Row],[Discount_Amount]]</f>
        <v>556.71</v>
      </c>
      <c r="R340">
        <v>233.82</v>
      </c>
      <c r="S340">
        <f>Sheet1__3_1_1_1[[#This Row],[Net_Revenue]]-Sheet1__3_1_1_1[[#This Row],[COGS]]</f>
        <v>322.89000000000004</v>
      </c>
    </row>
    <row r="341" spans="1:19" x14ac:dyDescent="0.25">
      <c r="A341" t="s">
        <v>436</v>
      </c>
      <c r="B341" s="1">
        <v>44913</v>
      </c>
      <c r="C341" t="s">
        <v>99</v>
      </c>
      <c r="D341" t="s">
        <v>148</v>
      </c>
      <c r="E341" t="s">
        <v>66</v>
      </c>
      <c r="F341" t="s">
        <v>22</v>
      </c>
      <c r="G341" t="s">
        <v>23</v>
      </c>
      <c r="H341" t="s">
        <v>52</v>
      </c>
      <c r="I341" t="s">
        <v>48</v>
      </c>
      <c r="J341" t="s">
        <v>35</v>
      </c>
      <c r="K341" t="s">
        <v>27</v>
      </c>
      <c r="L341">
        <v>13.27</v>
      </c>
      <c r="M341">
        <v>28</v>
      </c>
      <c r="N341" s="2">
        <v>0.1</v>
      </c>
      <c r="O341">
        <v>371.56</v>
      </c>
      <c r="P341">
        <v>37.155999999999999</v>
      </c>
      <c r="Q341">
        <f>Sheet1__3_1_1_1[[#This Row],[Gross_Revenue]]-Sheet1__3_1_1_1[[#This Row],[Discount_Amount]]</f>
        <v>334.404</v>
      </c>
      <c r="R341">
        <v>183.92</v>
      </c>
      <c r="S341">
        <f>Sheet1__3_1_1_1[[#This Row],[Net_Revenue]]-Sheet1__3_1_1_1[[#This Row],[COGS]]</f>
        <v>150.48400000000001</v>
      </c>
    </row>
    <row r="342" spans="1:19" x14ac:dyDescent="0.25">
      <c r="A342" t="s">
        <v>437</v>
      </c>
      <c r="B342" s="1">
        <v>44614</v>
      </c>
      <c r="C342" t="s">
        <v>19</v>
      </c>
      <c r="D342" t="s">
        <v>20</v>
      </c>
      <c r="E342" t="s">
        <v>66</v>
      </c>
      <c r="F342" t="s">
        <v>69</v>
      </c>
      <c r="G342" t="s">
        <v>190</v>
      </c>
      <c r="H342" t="s">
        <v>24</v>
      </c>
      <c r="I342" t="s">
        <v>48</v>
      </c>
      <c r="J342" t="s">
        <v>89</v>
      </c>
      <c r="K342" t="s">
        <v>36</v>
      </c>
      <c r="L342">
        <v>20.03</v>
      </c>
      <c r="M342">
        <v>8</v>
      </c>
      <c r="N342" s="2">
        <v>0.2</v>
      </c>
      <c r="O342">
        <v>160.24</v>
      </c>
      <c r="P342">
        <v>32.048000000000002</v>
      </c>
      <c r="Q342">
        <f>Sheet1__3_1_1_1[[#This Row],[Gross_Revenue]]-Sheet1__3_1_1_1[[#This Row],[Discount_Amount]]</f>
        <v>128.19200000000001</v>
      </c>
      <c r="R342">
        <v>48.71</v>
      </c>
      <c r="S342">
        <f>Sheet1__3_1_1_1[[#This Row],[Net_Revenue]]-Sheet1__3_1_1_1[[#This Row],[COGS]]</f>
        <v>79.481999999999999</v>
      </c>
    </row>
    <row r="343" spans="1:19" x14ac:dyDescent="0.25">
      <c r="A343" t="s">
        <v>438</v>
      </c>
      <c r="B343" s="1">
        <v>45182</v>
      </c>
      <c r="C343" t="s">
        <v>99</v>
      </c>
      <c r="D343" t="s">
        <v>132</v>
      </c>
      <c r="E343" t="s">
        <v>21</v>
      </c>
      <c r="F343" t="s">
        <v>22</v>
      </c>
      <c r="G343" t="s">
        <v>113</v>
      </c>
      <c r="H343" t="s">
        <v>108</v>
      </c>
      <c r="I343" t="s">
        <v>25</v>
      </c>
      <c r="J343" t="s">
        <v>35</v>
      </c>
      <c r="K343" t="s">
        <v>143</v>
      </c>
      <c r="L343">
        <v>10.63</v>
      </c>
      <c r="M343">
        <v>20</v>
      </c>
      <c r="N343" s="2">
        <v>0.15</v>
      </c>
      <c r="O343">
        <v>212.60000000000002</v>
      </c>
      <c r="P343">
        <v>31.89</v>
      </c>
      <c r="Q343">
        <f>Sheet1__3_1_1_1[[#This Row],[Gross_Revenue]]-Sheet1__3_1_1_1[[#This Row],[Discount_Amount]]</f>
        <v>180.71000000000004</v>
      </c>
      <c r="R343">
        <v>99.39</v>
      </c>
      <c r="S343">
        <f>Sheet1__3_1_1_1[[#This Row],[Net_Revenue]]-Sheet1__3_1_1_1[[#This Row],[COGS]]</f>
        <v>81.320000000000036</v>
      </c>
    </row>
    <row r="344" spans="1:19" x14ac:dyDescent="0.25">
      <c r="A344" t="s">
        <v>439</v>
      </c>
      <c r="B344" s="1">
        <v>44823</v>
      </c>
      <c r="C344" t="s">
        <v>29</v>
      </c>
      <c r="D344" t="s">
        <v>30</v>
      </c>
      <c r="E344" t="s">
        <v>63</v>
      </c>
      <c r="F344" t="s">
        <v>55</v>
      </c>
      <c r="G344" t="s">
        <v>67</v>
      </c>
      <c r="H344" t="s">
        <v>111</v>
      </c>
      <c r="I344" t="s">
        <v>60</v>
      </c>
      <c r="J344" t="s">
        <v>26</v>
      </c>
      <c r="K344" t="s">
        <v>27</v>
      </c>
      <c r="L344">
        <v>81.16</v>
      </c>
      <c r="M344">
        <v>5</v>
      </c>
      <c r="N344" s="2">
        <v>0.05</v>
      </c>
      <c r="O344">
        <v>405.79999999999995</v>
      </c>
      <c r="P344">
        <v>20.29</v>
      </c>
      <c r="Q344">
        <f>Sheet1__3_1_1_1[[#This Row],[Gross_Revenue]]-Sheet1__3_1_1_1[[#This Row],[Discount_Amount]]</f>
        <v>385.50999999999993</v>
      </c>
      <c r="R344">
        <v>161.91</v>
      </c>
      <c r="S344">
        <f>Sheet1__3_1_1_1[[#This Row],[Net_Revenue]]-Sheet1__3_1_1_1[[#This Row],[COGS]]</f>
        <v>223.59999999999994</v>
      </c>
    </row>
    <row r="345" spans="1:19" x14ac:dyDescent="0.25">
      <c r="A345" t="s">
        <v>440</v>
      </c>
      <c r="B345" s="1">
        <v>45178</v>
      </c>
      <c r="C345" t="s">
        <v>44</v>
      </c>
      <c r="D345" t="s">
        <v>65</v>
      </c>
      <c r="E345" t="s">
        <v>66</v>
      </c>
      <c r="F345" t="s">
        <v>79</v>
      </c>
      <c r="G345" t="s">
        <v>56</v>
      </c>
      <c r="H345" t="s">
        <v>111</v>
      </c>
      <c r="I345" t="s">
        <v>48</v>
      </c>
      <c r="J345" t="s">
        <v>94</v>
      </c>
      <c r="K345" t="s">
        <v>36</v>
      </c>
      <c r="L345">
        <v>52.94</v>
      </c>
      <c r="M345">
        <v>5</v>
      </c>
      <c r="N345" s="2">
        <v>0.2</v>
      </c>
      <c r="O345">
        <v>264.7</v>
      </c>
      <c r="P345">
        <v>52.94</v>
      </c>
      <c r="Q345">
        <f>Sheet1__3_1_1_1[[#This Row],[Gross_Revenue]]-Sheet1__3_1_1_1[[#This Row],[Discount_Amount]]</f>
        <v>211.76</v>
      </c>
      <c r="R345">
        <v>131.29</v>
      </c>
      <c r="S345">
        <f>Sheet1__3_1_1_1[[#This Row],[Net_Revenue]]-Sheet1__3_1_1_1[[#This Row],[COGS]]</f>
        <v>80.47</v>
      </c>
    </row>
    <row r="346" spans="1:19" x14ac:dyDescent="0.25">
      <c r="A346" t="s">
        <v>441</v>
      </c>
      <c r="B346" s="1">
        <v>44605</v>
      </c>
      <c r="C346" t="s">
        <v>77</v>
      </c>
      <c r="D346" t="s">
        <v>78</v>
      </c>
      <c r="E346" t="s">
        <v>66</v>
      </c>
      <c r="F346" t="s">
        <v>22</v>
      </c>
      <c r="G346" t="s">
        <v>46</v>
      </c>
      <c r="H346" t="s">
        <v>108</v>
      </c>
      <c r="I346" t="s">
        <v>48</v>
      </c>
      <c r="J346" t="s">
        <v>26</v>
      </c>
      <c r="K346" t="s">
        <v>53</v>
      </c>
      <c r="L346">
        <v>22.39</v>
      </c>
      <c r="M346">
        <v>30</v>
      </c>
      <c r="N346" s="2">
        <v>0.1</v>
      </c>
      <c r="O346">
        <v>671.7</v>
      </c>
      <c r="P346">
        <v>67.17</v>
      </c>
      <c r="Q346">
        <f>Sheet1__3_1_1_1[[#This Row],[Gross_Revenue]]-Sheet1__3_1_1_1[[#This Row],[Discount_Amount]]</f>
        <v>604.53000000000009</v>
      </c>
      <c r="R346">
        <v>332.49</v>
      </c>
      <c r="S346">
        <f>Sheet1__3_1_1_1[[#This Row],[Net_Revenue]]-Sheet1__3_1_1_1[[#This Row],[COGS]]</f>
        <v>272.04000000000008</v>
      </c>
    </row>
    <row r="347" spans="1:19" x14ac:dyDescent="0.25">
      <c r="A347" t="s">
        <v>442</v>
      </c>
      <c r="B347" s="1">
        <v>44608</v>
      </c>
      <c r="C347" t="s">
        <v>77</v>
      </c>
      <c r="D347" t="s">
        <v>110</v>
      </c>
      <c r="E347" t="s">
        <v>21</v>
      </c>
      <c r="F347" t="s">
        <v>69</v>
      </c>
      <c r="G347" t="s">
        <v>101</v>
      </c>
      <c r="H347" t="s">
        <v>57</v>
      </c>
      <c r="I347" t="s">
        <v>34</v>
      </c>
      <c r="J347" t="s">
        <v>89</v>
      </c>
      <c r="K347" t="s">
        <v>143</v>
      </c>
      <c r="L347">
        <v>8.6</v>
      </c>
      <c r="M347">
        <v>4</v>
      </c>
      <c r="N347" s="2">
        <v>0.15</v>
      </c>
      <c r="O347">
        <v>34.4</v>
      </c>
      <c r="P347">
        <v>5.1599999999999993</v>
      </c>
      <c r="Q347">
        <f>Sheet1__3_1_1_1[[#This Row],[Gross_Revenue]]-Sheet1__3_1_1_1[[#This Row],[Discount_Amount]]</f>
        <v>29.24</v>
      </c>
      <c r="R347">
        <v>11.11</v>
      </c>
      <c r="S347">
        <f>Sheet1__3_1_1_1[[#This Row],[Net_Revenue]]-Sheet1__3_1_1_1[[#This Row],[COGS]]</f>
        <v>18.13</v>
      </c>
    </row>
    <row r="348" spans="1:19" x14ac:dyDescent="0.25">
      <c r="A348" t="s">
        <v>443</v>
      </c>
      <c r="B348" s="1">
        <v>44726</v>
      </c>
      <c r="C348" t="s">
        <v>19</v>
      </c>
      <c r="D348" t="s">
        <v>20</v>
      </c>
      <c r="E348" t="s">
        <v>21</v>
      </c>
      <c r="F348" t="s">
        <v>79</v>
      </c>
      <c r="G348" t="s">
        <v>96</v>
      </c>
      <c r="H348" t="s">
        <v>106</v>
      </c>
      <c r="I348" t="s">
        <v>48</v>
      </c>
      <c r="J348" t="s">
        <v>89</v>
      </c>
      <c r="K348" t="s">
        <v>143</v>
      </c>
      <c r="L348">
        <v>412.52</v>
      </c>
      <c r="M348">
        <v>1</v>
      </c>
      <c r="N348" s="2">
        <v>0.2</v>
      </c>
      <c r="O348">
        <v>412.52</v>
      </c>
      <c r="P348">
        <v>82.504000000000005</v>
      </c>
      <c r="Q348">
        <f>Sheet1__3_1_1_1[[#This Row],[Gross_Revenue]]-Sheet1__3_1_1_1[[#This Row],[Discount_Amount]]</f>
        <v>330.01599999999996</v>
      </c>
      <c r="R348">
        <v>204.61</v>
      </c>
      <c r="S348">
        <f>Sheet1__3_1_1_1[[#This Row],[Net_Revenue]]-Sheet1__3_1_1_1[[#This Row],[COGS]]</f>
        <v>125.40599999999995</v>
      </c>
    </row>
    <row r="349" spans="1:19" x14ac:dyDescent="0.25">
      <c r="A349" t="s">
        <v>444</v>
      </c>
      <c r="B349" s="1">
        <v>44975</v>
      </c>
      <c r="C349" t="s">
        <v>29</v>
      </c>
      <c r="D349" t="s">
        <v>30</v>
      </c>
      <c r="E349" t="s">
        <v>63</v>
      </c>
      <c r="F349" t="s">
        <v>79</v>
      </c>
      <c r="G349" t="s">
        <v>56</v>
      </c>
      <c r="H349" t="s">
        <v>52</v>
      </c>
      <c r="I349" t="s">
        <v>48</v>
      </c>
      <c r="J349" t="s">
        <v>49</v>
      </c>
      <c r="K349" t="s">
        <v>27</v>
      </c>
      <c r="L349">
        <v>50.19</v>
      </c>
      <c r="M349">
        <v>6</v>
      </c>
      <c r="N349" s="2">
        <v>0.1</v>
      </c>
      <c r="O349">
        <v>301.14</v>
      </c>
      <c r="P349">
        <v>30.114000000000001</v>
      </c>
      <c r="Q349">
        <f>Sheet1__3_1_1_1[[#This Row],[Gross_Revenue]]-Sheet1__3_1_1_1[[#This Row],[Discount_Amount]]</f>
        <v>271.02600000000001</v>
      </c>
      <c r="R349">
        <v>168.04</v>
      </c>
      <c r="S349">
        <f>Sheet1__3_1_1_1[[#This Row],[Net_Revenue]]-Sheet1__3_1_1_1[[#This Row],[COGS]]</f>
        <v>102.98600000000002</v>
      </c>
    </row>
    <row r="350" spans="1:19" x14ac:dyDescent="0.25">
      <c r="A350" t="s">
        <v>445</v>
      </c>
      <c r="B350" s="1">
        <v>44825</v>
      </c>
      <c r="C350" t="s">
        <v>29</v>
      </c>
      <c r="D350" t="s">
        <v>62</v>
      </c>
      <c r="E350" t="s">
        <v>21</v>
      </c>
      <c r="F350" t="s">
        <v>69</v>
      </c>
      <c r="G350" t="s">
        <v>73</v>
      </c>
      <c r="H350" t="s">
        <v>87</v>
      </c>
      <c r="I350" t="s">
        <v>34</v>
      </c>
      <c r="J350" t="s">
        <v>89</v>
      </c>
      <c r="K350" t="s">
        <v>36</v>
      </c>
      <c r="L350">
        <v>10.72</v>
      </c>
      <c r="M350">
        <v>17</v>
      </c>
      <c r="N350" s="2">
        <v>0.05</v>
      </c>
      <c r="O350">
        <v>182.24</v>
      </c>
      <c r="P350">
        <v>9.1120000000000001</v>
      </c>
      <c r="Q350">
        <f>Sheet1__3_1_1_1[[#This Row],[Gross_Revenue]]-Sheet1__3_1_1_1[[#This Row],[Discount_Amount]]</f>
        <v>173.12800000000001</v>
      </c>
      <c r="R350">
        <v>65.790000000000006</v>
      </c>
      <c r="S350">
        <f>Sheet1__3_1_1_1[[#This Row],[Net_Revenue]]-Sheet1__3_1_1_1[[#This Row],[COGS]]</f>
        <v>107.33800000000001</v>
      </c>
    </row>
    <row r="351" spans="1:19" x14ac:dyDescent="0.25">
      <c r="A351" t="s">
        <v>446</v>
      </c>
      <c r="B351" s="1">
        <v>44643</v>
      </c>
      <c r="C351" t="s">
        <v>77</v>
      </c>
      <c r="D351" t="s">
        <v>78</v>
      </c>
      <c r="E351" t="s">
        <v>39</v>
      </c>
      <c r="F351" t="s">
        <v>31</v>
      </c>
      <c r="G351" t="s">
        <v>32</v>
      </c>
      <c r="H351" t="s">
        <v>52</v>
      </c>
      <c r="I351" t="s">
        <v>42</v>
      </c>
      <c r="J351" t="s">
        <v>35</v>
      </c>
      <c r="K351" t="s">
        <v>27</v>
      </c>
      <c r="L351">
        <v>367.91</v>
      </c>
      <c r="M351">
        <v>1</v>
      </c>
      <c r="N351" s="2">
        <v>0.1</v>
      </c>
      <c r="O351">
        <v>367.91</v>
      </c>
      <c r="P351">
        <v>36.791000000000004</v>
      </c>
      <c r="Q351">
        <f>Sheet1__3_1_1_1[[#This Row],[Gross_Revenue]]-Sheet1__3_1_1_1[[#This Row],[Discount_Amount]]</f>
        <v>331.11900000000003</v>
      </c>
      <c r="R351">
        <v>158.94</v>
      </c>
      <c r="S351">
        <f>Sheet1__3_1_1_1[[#This Row],[Net_Revenue]]-Sheet1__3_1_1_1[[#This Row],[COGS]]</f>
        <v>172.17900000000003</v>
      </c>
    </row>
    <row r="352" spans="1:19" x14ac:dyDescent="0.25">
      <c r="A352" t="s">
        <v>447</v>
      </c>
      <c r="B352" s="1">
        <v>44918</v>
      </c>
      <c r="C352" t="s">
        <v>99</v>
      </c>
      <c r="D352" t="s">
        <v>148</v>
      </c>
      <c r="E352" t="s">
        <v>66</v>
      </c>
      <c r="F352" t="s">
        <v>79</v>
      </c>
      <c r="G352" t="s">
        <v>96</v>
      </c>
      <c r="H352" t="s">
        <v>41</v>
      </c>
      <c r="I352" t="s">
        <v>48</v>
      </c>
      <c r="J352" t="s">
        <v>89</v>
      </c>
      <c r="K352" t="s">
        <v>143</v>
      </c>
      <c r="L352">
        <v>390.65</v>
      </c>
      <c r="M352">
        <v>5</v>
      </c>
      <c r="N352" s="2">
        <v>0</v>
      </c>
      <c r="O352">
        <v>1953.25</v>
      </c>
      <c r="P352">
        <v>0</v>
      </c>
      <c r="Q352">
        <f>Sheet1__3_1_1_1[[#This Row],[Gross_Revenue]]-Sheet1__3_1_1_1[[#This Row],[Discount_Amount]]</f>
        <v>1953.25</v>
      </c>
      <c r="R352">
        <v>1211.02</v>
      </c>
      <c r="S352">
        <f>Sheet1__3_1_1_1[[#This Row],[Net_Revenue]]-Sheet1__3_1_1_1[[#This Row],[COGS]]</f>
        <v>742.23</v>
      </c>
    </row>
    <row r="353" spans="1:19" x14ac:dyDescent="0.25">
      <c r="A353" t="s">
        <v>448</v>
      </c>
      <c r="B353" s="1">
        <v>44831</v>
      </c>
      <c r="C353" t="s">
        <v>44</v>
      </c>
      <c r="D353" t="s">
        <v>51</v>
      </c>
      <c r="E353" t="s">
        <v>63</v>
      </c>
      <c r="F353" t="s">
        <v>79</v>
      </c>
      <c r="G353" t="s">
        <v>56</v>
      </c>
      <c r="H353" t="s">
        <v>57</v>
      </c>
      <c r="I353" t="s">
        <v>25</v>
      </c>
      <c r="J353" t="s">
        <v>89</v>
      </c>
      <c r="K353" t="s">
        <v>36</v>
      </c>
      <c r="L353">
        <v>42.19</v>
      </c>
      <c r="M353">
        <v>4</v>
      </c>
      <c r="N353" s="2">
        <v>0.05</v>
      </c>
      <c r="O353">
        <v>168.76</v>
      </c>
      <c r="P353">
        <v>8.4380000000000006</v>
      </c>
      <c r="Q353">
        <f>Sheet1__3_1_1_1[[#This Row],[Gross_Revenue]]-Sheet1__3_1_1_1[[#This Row],[Discount_Amount]]</f>
        <v>160.322</v>
      </c>
      <c r="R353">
        <v>99.4</v>
      </c>
      <c r="S353">
        <f>Sheet1__3_1_1_1[[#This Row],[Net_Revenue]]-Sheet1__3_1_1_1[[#This Row],[COGS]]</f>
        <v>60.921999999999997</v>
      </c>
    </row>
    <row r="354" spans="1:19" x14ac:dyDescent="0.25">
      <c r="A354" t="s">
        <v>449</v>
      </c>
      <c r="B354" s="1">
        <v>44697</v>
      </c>
      <c r="C354" t="s">
        <v>99</v>
      </c>
      <c r="D354" t="s">
        <v>100</v>
      </c>
      <c r="E354" t="s">
        <v>39</v>
      </c>
      <c r="F354" t="s">
        <v>22</v>
      </c>
      <c r="G354" t="s">
        <v>46</v>
      </c>
      <c r="H354" t="s">
        <v>87</v>
      </c>
      <c r="I354" t="s">
        <v>34</v>
      </c>
      <c r="J354" t="s">
        <v>26</v>
      </c>
      <c r="K354" t="s">
        <v>27</v>
      </c>
      <c r="L354">
        <v>19.5</v>
      </c>
      <c r="M354">
        <v>22</v>
      </c>
      <c r="N354" s="2">
        <v>0.15</v>
      </c>
      <c r="O354">
        <v>429</v>
      </c>
      <c r="P354">
        <v>64.349999999999994</v>
      </c>
      <c r="Q354">
        <f>Sheet1__3_1_1_1[[#This Row],[Gross_Revenue]]-Sheet1__3_1_1_1[[#This Row],[Discount_Amount]]</f>
        <v>364.65</v>
      </c>
      <c r="R354">
        <v>200.56</v>
      </c>
      <c r="S354">
        <f>Sheet1__3_1_1_1[[#This Row],[Net_Revenue]]-Sheet1__3_1_1_1[[#This Row],[COGS]]</f>
        <v>164.08999999999997</v>
      </c>
    </row>
    <row r="355" spans="1:19" x14ac:dyDescent="0.25">
      <c r="A355" t="s">
        <v>450</v>
      </c>
      <c r="B355" s="1">
        <v>44975</v>
      </c>
      <c r="C355" t="s">
        <v>29</v>
      </c>
      <c r="D355" t="s">
        <v>38</v>
      </c>
      <c r="E355" t="s">
        <v>66</v>
      </c>
      <c r="F355" t="s">
        <v>31</v>
      </c>
      <c r="G355" t="s">
        <v>32</v>
      </c>
      <c r="H355" t="s">
        <v>59</v>
      </c>
      <c r="I355" t="s">
        <v>34</v>
      </c>
      <c r="J355" t="s">
        <v>89</v>
      </c>
      <c r="K355" t="s">
        <v>27</v>
      </c>
      <c r="L355">
        <v>341.72</v>
      </c>
      <c r="M355">
        <v>1</v>
      </c>
      <c r="N355" s="2">
        <v>0.05</v>
      </c>
      <c r="O355">
        <v>341.72</v>
      </c>
      <c r="P355">
        <v>17.086000000000002</v>
      </c>
      <c r="Q355">
        <f>Sheet1__3_1_1_1[[#This Row],[Gross_Revenue]]-Sheet1__3_1_1_1[[#This Row],[Discount_Amount]]</f>
        <v>324.63400000000001</v>
      </c>
      <c r="R355">
        <v>155.82</v>
      </c>
      <c r="S355">
        <f>Sheet1__3_1_1_1[[#This Row],[Net_Revenue]]-Sheet1__3_1_1_1[[#This Row],[COGS]]</f>
        <v>168.81400000000002</v>
      </c>
    </row>
    <row r="356" spans="1:19" x14ac:dyDescent="0.25">
      <c r="A356" t="s">
        <v>451</v>
      </c>
      <c r="B356" s="1">
        <v>45182</v>
      </c>
      <c r="C356" t="s">
        <v>29</v>
      </c>
      <c r="D356" t="s">
        <v>38</v>
      </c>
      <c r="E356" t="s">
        <v>66</v>
      </c>
      <c r="F356" t="s">
        <v>69</v>
      </c>
      <c r="G356" t="s">
        <v>126</v>
      </c>
      <c r="H356" t="s">
        <v>24</v>
      </c>
      <c r="I356" t="s">
        <v>60</v>
      </c>
      <c r="J356" t="s">
        <v>89</v>
      </c>
      <c r="K356" t="s">
        <v>27</v>
      </c>
      <c r="L356">
        <v>21.52</v>
      </c>
      <c r="M356">
        <v>29</v>
      </c>
      <c r="N356" s="2">
        <v>0</v>
      </c>
      <c r="O356">
        <v>624.08000000000004</v>
      </c>
      <c r="P356">
        <v>0</v>
      </c>
      <c r="Q356">
        <f>Sheet1__3_1_1_1[[#This Row],[Gross_Revenue]]-Sheet1__3_1_1_1[[#This Row],[Discount_Amount]]</f>
        <v>624.08000000000004</v>
      </c>
      <c r="R356">
        <v>237.15</v>
      </c>
      <c r="S356">
        <f>Sheet1__3_1_1_1[[#This Row],[Net_Revenue]]-Sheet1__3_1_1_1[[#This Row],[COGS]]</f>
        <v>386.93000000000006</v>
      </c>
    </row>
    <row r="357" spans="1:19" x14ac:dyDescent="0.25">
      <c r="A357" t="s">
        <v>452</v>
      </c>
      <c r="B357" s="1">
        <v>45232</v>
      </c>
      <c r="C357" t="s">
        <v>99</v>
      </c>
      <c r="D357" t="s">
        <v>132</v>
      </c>
      <c r="E357" t="s">
        <v>21</v>
      </c>
      <c r="F357" t="s">
        <v>55</v>
      </c>
      <c r="G357" t="s">
        <v>83</v>
      </c>
      <c r="H357" t="s">
        <v>24</v>
      </c>
      <c r="I357" t="s">
        <v>48</v>
      </c>
      <c r="J357" t="s">
        <v>89</v>
      </c>
      <c r="K357" t="s">
        <v>36</v>
      </c>
      <c r="L357">
        <v>62.71</v>
      </c>
      <c r="M357">
        <v>4</v>
      </c>
      <c r="N357" s="2">
        <v>0.1</v>
      </c>
      <c r="O357">
        <v>250.84</v>
      </c>
      <c r="P357">
        <v>25.084000000000003</v>
      </c>
      <c r="Q357">
        <f>Sheet1__3_1_1_1[[#This Row],[Gross_Revenue]]-Sheet1__3_1_1_1[[#This Row],[Discount_Amount]]</f>
        <v>225.756</v>
      </c>
      <c r="R357">
        <v>94.82</v>
      </c>
      <c r="S357">
        <f>Sheet1__3_1_1_1[[#This Row],[Net_Revenue]]-Sheet1__3_1_1_1[[#This Row],[COGS]]</f>
        <v>130.93600000000001</v>
      </c>
    </row>
    <row r="358" spans="1:19" x14ac:dyDescent="0.25">
      <c r="A358" t="s">
        <v>453</v>
      </c>
      <c r="B358" s="1">
        <v>44806</v>
      </c>
      <c r="C358" t="s">
        <v>19</v>
      </c>
      <c r="D358" t="s">
        <v>130</v>
      </c>
      <c r="E358" t="s">
        <v>63</v>
      </c>
      <c r="F358" t="s">
        <v>79</v>
      </c>
      <c r="G358" t="s">
        <v>96</v>
      </c>
      <c r="H358" t="s">
        <v>59</v>
      </c>
      <c r="I358" t="s">
        <v>42</v>
      </c>
      <c r="J358" t="s">
        <v>26</v>
      </c>
      <c r="K358" t="s">
        <v>36</v>
      </c>
      <c r="L358">
        <v>362.14</v>
      </c>
      <c r="M358">
        <v>4</v>
      </c>
      <c r="N358" s="2">
        <v>0.05</v>
      </c>
      <c r="O358">
        <v>1448.56</v>
      </c>
      <c r="P358">
        <v>72.427999999999997</v>
      </c>
      <c r="Q358">
        <f>Sheet1__3_1_1_1[[#This Row],[Gross_Revenue]]-Sheet1__3_1_1_1[[#This Row],[Discount_Amount]]</f>
        <v>1376.1320000000001</v>
      </c>
      <c r="R358">
        <v>853.2</v>
      </c>
      <c r="S358">
        <f>Sheet1__3_1_1_1[[#This Row],[Net_Revenue]]-Sheet1__3_1_1_1[[#This Row],[COGS]]</f>
        <v>522.93200000000002</v>
      </c>
    </row>
    <row r="359" spans="1:19" x14ac:dyDescent="0.25">
      <c r="A359" t="s">
        <v>454</v>
      </c>
      <c r="B359" s="1">
        <v>44574</v>
      </c>
      <c r="C359" t="s">
        <v>19</v>
      </c>
      <c r="D359" t="s">
        <v>130</v>
      </c>
      <c r="E359" t="s">
        <v>21</v>
      </c>
      <c r="F359" t="s">
        <v>22</v>
      </c>
      <c r="G359" t="s">
        <v>75</v>
      </c>
      <c r="H359" t="s">
        <v>106</v>
      </c>
      <c r="I359" t="s">
        <v>25</v>
      </c>
      <c r="J359" t="s">
        <v>89</v>
      </c>
      <c r="K359" t="s">
        <v>36</v>
      </c>
      <c r="L359">
        <v>11.08</v>
      </c>
      <c r="M359">
        <v>19</v>
      </c>
      <c r="N359" s="2">
        <v>0.2</v>
      </c>
      <c r="O359">
        <v>210.52</v>
      </c>
      <c r="P359">
        <v>42.104000000000006</v>
      </c>
      <c r="Q359">
        <f>Sheet1__3_1_1_1[[#This Row],[Gross_Revenue]]-Sheet1__3_1_1_1[[#This Row],[Discount_Amount]]</f>
        <v>168.416</v>
      </c>
      <c r="R359">
        <v>92.63</v>
      </c>
      <c r="S359">
        <f>Sheet1__3_1_1_1[[#This Row],[Net_Revenue]]-Sheet1__3_1_1_1[[#This Row],[COGS]]</f>
        <v>75.786000000000001</v>
      </c>
    </row>
    <row r="360" spans="1:19" x14ac:dyDescent="0.25">
      <c r="A360" t="s">
        <v>455</v>
      </c>
      <c r="B360" s="1">
        <v>45176</v>
      </c>
      <c r="C360" t="s">
        <v>29</v>
      </c>
      <c r="D360" t="s">
        <v>62</v>
      </c>
      <c r="E360" t="s">
        <v>21</v>
      </c>
      <c r="F360" t="s">
        <v>79</v>
      </c>
      <c r="G360" t="s">
        <v>96</v>
      </c>
      <c r="H360" t="s">
        <v>47</v>
      </c>
      <c r="I360" t="s">
        <v>25</v>
      </c>
      <c r="J360" t="s">
        <v>26</v>
      </c>
      <c r="K360" t="s">
        <v>36</v>
      </c>
      <c r="L360">
        <v>342.02</v>
      </c>
      <c r="M360">
        <v>7</v>
      </c>
      <c r="N360" s="2">
        <v>0.2</v>
      </c>
      <c r="O360">
        <v>2394.14</v>
      </c>
      <c r="P360">
        <v>478.82799999999997</v>
      </c>
      <c r="Q360">
        <f>Sheet1__3_1_1_1[[#This Row],[Gross_Revenue]]-Sheet1__3_1_1_1[[#This Row],[Discount_Amount]]</f>
        <v>1915.3119999999999</v>
      </c>
      <c r="R360">
        <v>1187.49</v>
      </c>
      <c r="S360">
        <f>Sheet1__3_1_1_1[[#This Row],[Net_Revenue]]-Sheet1__3_1_1_1[[#This Row],[COGS]]</f>
        <v>727.82199999999989</v>
      </c>
    </row>
    <row r="361" spans="1:19" x14ac:dyDescent="0.25">
      <c r="A361" t="s">
        <v>456</v>
      </c>
      <c r="B361" s="1">
        <v>45107</v>
      </c>
      <c r="C361" t="s">
        <v>77</v>
      </c>
      <c r="D361" t="s">
        <v>110</v>
      </c>
      <c r="E361" t="s">
        <v>66</v>
      </c>
      <c r="F361" t="s">
        <v>31</v>
      </c>
      <c r="G361" t="s">
        <v>122</v>
      </c>
      <c r="H361" t="s">
        <v>41</v>
      </c>
      <c r="I361" t="s">
        <v>48</v>
      </c>
      <c r="J361" t="s">
        <v>35</v>
      </c>
      <c r="K361" t="s">
        <v>36</v>
      </c>
      <c r="L361" t="s">
        <v>1147</v>
      </c>
      <c r="M361">
        <v>3</v>
      </c>
      <c r="N361" s="2">
        <v>0</v>
      </c>
      <c r="O361">
        <v>0</v>
      </c>
      <c r="P361">
        <v>0</v>
      </c>
      <c r="Q361">
        <f>Sheet1__3_1_1_1[[#This Row],[Gross_Revenue]]-Sheet1__3_1_1_1[[#This Row],[Discount_Amount]]</f>
        <v>0</v>
      </c>
      <c r="R361" t="s">
        <v>1147</v>
      </c>
      <c r="S361" t="e">
        <f>Sheet1__3_1_1_1[[#This Row],[Net_Revenue]]-Sheet1__3_1_1_1[[#This Row],[COGS]]</f>
        <v>#VALUE!</v>
      </c>
    </row>
    <row r="362" spans="1:19" x14ac:dyDescent="0.25">
      <c r="A362" t="s">
        <v>457</v>
      </c>
      <c r="B362" s="1">
        <v>44586</v>
      </c>
      <c r="C362" t="s">
        <v>77</v>
      </c>
      <c r="D362" t="s">
        <v>78</v>
      </c>
      <c r="E362" t="s">
        <v>63</v>
      </c>
      <c r="F362" t="s">
        <v>69</v>
      </c>
      <c r="G362" t="s">
        <v>70</v>
      </c>
      <c r="H362" t="s">
        <v>111</v>
      </c>
      <c r="I362" t="s">
        <v>48</v>
      </c>
      <c r="J362" t="s">
        <v>26</v>
      </c>
      <c r="K362" t="s">
        <v>143</v>
      </c>
      <c r="L362">
        <v>325.58</v>
      </c>
      <c r="M362">
        <v>2</v>
      </c>
      <c r="N362" s="2">
        <v>0</v>
      </c>
      <c r="O362">
        <v>651.16</v>
      </c>
      <c r="P362">
        <v>0</v>
      </c>
      <c r="Q362">
        <f>Sheet1__3_1_1_1[[#This Row],[Gross_Revenue]]-Sheet1__3_1_1_1[[#This Row],[Discount_Amount]]</f>
        <v>651.16</v>
      </c>
      <c r="R362">
        <v>247.44</v>
      </c>
      <c r="S362">
        <f>Sheet1__3_1_1_1[[#This Row],[Net_Revenue]]-Sheet1__3_1_1_1[[#This Row],[COGS]]</f>
        <v>403.71999999999997</v>
      </c>
    </row>
    <row r="363" spans="1:19" x14ac:dyDescent="0.25">
      <c r="A363" t="s">
        <v>458</v>
      </c>
      <c r="B363" s="1">
        <v>44842</v>
      </c>
      <c r="C363" t="s">
        <v>29</v>
      </c>
      <c r="D363" t="s">
        <v>38</v>
      </c>
      <c r="E363" t="s">
        <v>21</v>
      </c>
      <c r="F363" t="s">
        <v>55</v>
      </c>
      <c r="G363" t="s">
        <v>67</v>
      </c>
      <c r="H363" t="s">
        <v>106</v>
      </c>
      <c r="I363" t="s">
        <v>34</v>
      </c>
      <c r="J363" t="s">
        <v>49</v>
      </c>
      <c r="K363" t="s">
        <v>36</v>
      </c>
      <c r="L363">
        <v>75.989999999999995</v>
      </c>
      <c r="M363">
        <v>8</v>
      </c>
      <c r="N363" s="2">
        <v>0</v>
      </c>
      <c r="O363">
        <v>607.91999999999996</v>
      </c>
      <c r="P363">
        <v>0</v>
      </c>
      <c r="Q363">
        <f>Sheet1__3_1_1_1[[#This Row],[Gross_Revenue]]-Sheet1__3_1_1_1[[#This Row],[Discount_Amount]]</f>
        <v>607.91999999999996</v>
      </c>
      <c r="R363">
        <v>255.33</v>
      </c>
      <c r="S363">
        <f>Sheet1__3_1_1_1[[#This Row],[Net_Revenue]]-Sheet1__3_1_1_1[[#This Row],[COGS]]</f>
        <v>352.58999999999992</v>
      </c>
    </row>
    <row r="364" spans="1:19" x14ac:dyDescent="0.25">
      <c r="A364" t="s">
        <v>459</v>
      </c>
      <c r="B364" s="1">
        <v>45133</v>
      </c>
      <c r="C364" t="s">
        <v>19</v>
      </c>
      <c r="D364" t="s">
        <v>130</v>
      </c>
      <c r="E364" t="s">
        <v>66</v>
      </c>
      <c r="F364" t="s">
        <v>31</v>
      </c>
      <c r="G364" t="s">
        <v>40</v>
      </c>
      <c r="H364" t="s">
        <v>87</v>
      </c>
      <c r="I364" t="s">
        <v>25</v>
      </c>
      <c r="J364" t="s">
        <v>26</v>
      </c>
      <c r="K364" t="s">
        <v>143</v>
      </c>
      <c r="L364">
        <v>209.06</v>
      </c>
      <c r="M364">
        <v>1</v>
      </c>
      <c r="N364" s="2">
        <v>0.05</v>
      </c>
      <c r="O364">
        <v>209.06</v>
      </c>
      <c r="P364">
        <v>10.453000000000001</v>
      </c>
      <c r="Q364">
        <f>Sheet1__3_1_1_1[[#This Row],[Gross_Revenue]]-Sheet1__3_1_1_1[[#This Row],[Discount_Amount]]</f>
        <v>198.607</v>
      </c>
      <c r="R364">
        <v>95.33</v>
      </c>
      <c r="S364">
        <f>Sheet1__3_1_1_1[[#This Row],[Net_Revenue]]-Sheet1__3_1_1_1[[#This Row],[COGS]]</f>
        <v>103.277</v>
      </c>
    </row>
    <row r="365" spans="1:19" x14ac:dyDescent="0.25">
      <c r="A365" t="s">
        <v>460</v>
      </c>
      <c r="B365" s="1">
        <v>44673</v>
      </c>
      <c r="C365" t="s">
        <v>99</v>
      </c>
      <c r="D365" t="s">
        <v>132</v>
      </c>
      <c r="E365" t="s">
        <v>21</v>
      </c>
      <c r="F365" t="s">
        <v>31</v>
      </c>
      <c r="G365" t="s">
        <v>122</v>
      </c>
      <c r="H365" t="s">
        <v>108</v>
      </c>
      <c r="I365" t="s">
        <v>60</v>
      </c>
      <c r="J365" t="s">
        <v>94</v>
      </c>
      <c r="K365" t="s">
        <v>36</v>
      </c>
      <c r="L365">
        <v>465.77</v>
      </c>
      <c r="M365">
        <v>2</v>
      </c>
      <c r="N365" s="2">
        <v>0.05</v>
      </c>
      <c r="O365">
        <v>931.54</v>
      </c>
      <c r="P365">
        <v>46.576999999999998</v>
      </c>
      <c r="Q365">
        <f>Sheet1__3_1_1_1[[#This Row],[Gross_Revenue]]-Sheet1__3_1_1_1[[#This Row],[Discount_Amount]]</f>
        <v>884.96299999999997</v>
      </c>
      <c r="R365">
        <v>424.78</v>
      </c>
      <c r="S365">
        <f>Sheet1__3_1_1_1[[#This Row],[Net_Revenue]]-Sheet1__3_1_1_1[[#This Row],[COGS]]</f>
        <v>460.18299999999999</v>
      </c>
    </row>
    <row r="366" spans="1:19" x14ac:dyDescent="0.25">
      <c r="A366" t="s">
        <v>461</v>
      </c>
      <c r="B366" s="1">
        <v>44596</v>
      </c>
      <c r="C366" t="s">
        <v>19</v>
      </c>
      <c r="D366" t="s">
        <v>20</v>
      </c>
      <c r="E366" t="s">
        <v>21</v>
      </c>
      <c r="F366" t="s">
        <v>79</v>
      </c>
      <c r="G366" t="s">
        <v>56</v>
      </c>
      <c r="H366" t="s">
        <v>52</v>
      </c>
      <c r="I366" t="s">
        <v>25</v>
      </c>
      <c r="J366" t="s">
        <v>35</v>
      </c>
      <c r="K366" t="s">
        <v>143</v>
      </c>
      <c r="L366">
        <v>53.77</v>
      </c>
      <c r="M366">
        <v>2</v>
      </c>
      <c r="N366" s="2">
        <v>0</v>
      </c>
      <c r="O366">
        <v>107.54</v>
      </c>
      <c r="P366">
        <v>0</v>
      </c>
      <c r="Q366">
        <f>Sheet1__3_1_1_1[[#This Row],[Gross_Revenue]]-Sheet1__3_1_1_1[[#This Row],[Discount_Amount]]</f>
        <v>107.54</v>
      </c>
      <c r="R366">
        <v>66.67</v>
      </c>
      <c r="S366">
        <f>Sheet1__3_1_1_1[[#This Row],[Net_Revenue]]-Sheet1__3_1_1_1[[#This Row],[COGS]]</f>
        <v>40.870000000000005</v>
      </c>
    </row>
    <row r="367" spans="1:19" x14ac:dyDescent="0.25">
      <c r="A367" t="s">
        <v>462</v>
      </c>
      <c r="B367" s="1">
        <v>45075</v>
      </c>
      <c r="C367" t="s">
        <v>19</v>
      </c>
      <c r="D367" t="s">
        <v>91</v>
      </c>
      <c r="E367" t="s">
        <v>66</v>
      </c>
      <c r="F367" t="s">
        <v>69</v>
      </c>
      <c r="G367" t="s">
        <v>70</v>
      </c>
      <c r="H367" t="s">
        <v>111</v>
      </c>
      <c r="I367" t="s">
        <v>48</v>
      </c>
      <c r="J367" t="s">
        <v>26</v>
      </c>
      <c r="K367" t="s">
        <v>36</v>
      </c>
      <c r="L367">
        <v>315.75</v>
      </c>
      <c r="M367">
        <v>13</v>
      </c>
      <c r="N367" s="2">
        <v>0.15</v>
      </c>
      <c r="O367">
        <v>4104.75</v>
      </c>
      <c r="P367">
        <v>615.71249999999998</v>
      </c>
      <c r="Q367">
        <f>Sheet1__3_1_1_1[[#This Row],[Gross_Revenue]]-Sheet1__3_1_1_1[[#This Row],[Discount_Amount]]</f>
        <v>3489.0374999999999</v>
      </c>
      <c r="R367">
        <v>1325.84</v>
      </c>
      <c r="S367">
        <f>Sheet1__3_1_1_1[[#This Row],[Net_Revenue]]-Sheet1__3_1_1_1[[#This Row],[COGS]]</f>
        <v>2163.1975000000002</v>
      </c>
    </row>
    <row r="368" spans="1:19" x14ac:dyDescent="0.25">
      <c r="A368" t="s">
        <v>463</v>
      </c>
      <c r="B368" s="1">
        <v>44818</v>
      </c>
      <c r="C368" t="s">
        <v>44</v>
      </c>
      <c r="D368" t="s">
        <v>65</v>
      </c>
      <c r="E368" t="s">
        <v>39</v>
      </c>
      <c r="F368" t="s">
        <v>79</v>
      </c>
      <c r="G368" t="s">
        <v>96</v>
      </c>
      <c r="H368" t="s">
        <v>33</v>
      </c>
      <c r="I368" t="s">
        <v>42</v>
      </c>
      <c r="J368" t="s">
        <v>26</v>
      </c>
      <c r="K368" t="s">
        <v>36</v>
      </c>
      <c r="L368">
        <v>414.04</v>
      </c>
      <c r="M368">
        <v>8</v>
      </c>
      <c r="N368" s="2">
        <v>0</v>
      </c>
      <c r="O368">
        <v>3312.32</v>
      </c>
      <c r="P368">
        <v>0</v>
      </c>
      <c r="Q368">
        <f>Sheet1__3_1_1_1[[#This Row],[Gross_Revenue]]-Sheet1__3_1_1_1[[#This Row],[Discount_Amount]]</f>
        <v>3312.32</v>
      </c>
      <c r="R368">
        <v>2053.64</v>
      </c>
      <c r="S368">
        <f>Sheet1__3_1_1_1[[#This Row],[Net_Revenue]]-Sheet1__3_1_1_1[[#This Row],[COGS]]</f>
        <v>1258.6800000000003</v>
      </c>
    </row>
    <row r="369" spans="1:19" x14ac:dyDescent="0.25">
      <c r="A369" t="s">
        <v>464</v>
      </c>
      <c r="B369" s="1">
        <v>44611</v>
      </c>
      <c r="C369" t="s">
        <v>44</v>
      </c>
      <c r="D369" t="s">
        <v>51</v>
      </c>
      <c r="E369" t="s">
        <v>39</v>
      </c>
      <c r="F369" t="s">
        <v>22</v>
      </c>
      <c r="G369" t="s">
        <v>75</v>
      </c>
      <c r="H369" t="s">
        <v>47</v>
      </c>
      <c r="I369" t="s">
        <v>25</v>
      </c>
      <c r="J369" t="s">
        <v>26</v>
      </c>
      <c r="K369" t="s">
        <v>36</v>
      </c>
      <c r="L369">
        <v>9.77</v>
      </c>
      <c r="M369">
        <v>6</v>
      </c>
      <c r="N369" s="2">
        <v>0</v>
      </c>
      <c r="O369">
        <v>58.62</v>
      </c>
      <c r="P369">
        <v>0</v>
      </c>
      <c r="Q369">
        <f>Sheet1__3_1_1_1[[#This Row],[Gross_Revenue]]-Sheet1__3_1_1_1[[#This Row],[Discount_Amount]]</f>
        <v>58.62</v>
      </c>
      <c r="R369">
        <v>32.24</v>
      </c>
      <c r="S369">
        <f>Sheet1__3_1_1_1[[#This Row],[Net_Revenue]]-Sheet1__3_1_1_1[[#This Row],[COGS]]</f>
        <v>26.379999999999995</v>
      </c>
    </row>
    <row r="370" spans="1:19" x14ac:dyDescent="0.25">
      <c r="A370" t="s">
        <v>465</v>
      </c>
      <c r="B370" s="1">
        <v>44679</v>
      </c>
      <c r="C370" t="s">
        <v>19</v>
      </c>
      <c r="D370" t="s">
        <v>91</v>
      </c>
      <c r="E370" t="s">
        <v>63</v>
      </c>
      <c r="F370" t="s">
        <v>69</v>
      </c>
      <c r="G370" t="s">
        <v>70</v>
      </c>
      <c r="H370" t="s">
        <v>47</v>
      </c>
      <c r="I370" t="s">
        <v>25</v>
      </c>
      <c r="J370" t="s">
        <v>49</v>
      </c>
      <c r="K370" t="s">
        <v>53</v>
      </c>
      <c r="L370">
        <v>324.16000000000003</v>
      </c>
      <c r="M370">
        <v>8</v>
      </c>
      <c r="N370" s="2">
        <v>0</v>
      </c>
      <c r="O370">
        <v>2593.2800000000002</v>
      </c>
      <c r="P370">
        <v>0</v>
      </c>
      <c r="Q370">
        <f>Sheet1__3_1_1_1[[#This Row],[Gross_Revenue]]-Sheet1__3_1_1_1[[#This Row],[Discount_Amount]]</f>
        <v>2593.2800000000002</v>
      </c>
      <c r="R370">
        <v>985.45</v>
      </c>
      <c r="S370">
        <f>Sheet1__3_1_1_1[[#This Row],[Net_Revenue]]-Sheet1__3_1_1_1[[#This Row],[COGS]]</f>
        <v>1607.8300000000002</v>
      </c>
    </row>
    <row r="371" spans="1:19" x14ac:dyDescent="0.25">
      <c r="A371" t="s">
        <v>466</v>
      </c>
      <c r="B371" s="1">
        <v>45124</v>
      </c>
      <c r="C371" t="s">
        <v>77</v>
      </c>
      <c r="D371" t="s">
        <v>110</v>
      </c>
      <c r="E371" t="s">
        <v>63</v>
      </c>
      <c r="F371" t="s">
        <v>22</v>
      </c>
      <c r="G371" t="s">
        <v>113</v>
      </c>
      <c r="H371" t="s">
        <v>47</v>
      </c>
      <c r="I371" t="s">
        <v>48</v>
      </c>
      <c r="J371" t="s">
        <v>35</v>
      </c>
      <c r="K371" t="s">
        <v>53</v>
      </c>
      <c r="L371">
        <v>12.99</v>
      </c>
      <c r="M371">
        <v>14</v>
      </c>
      <c r="N371" s="2">
        <v>0.1</v>
      </c>
      <c r="O371">
        <v>181.86</v>
      </c>
      <c r="P371">
        <v>18.186000000000003</v>
      </c>
      <c r="Q371">
        <f>Sheet1__3_1_1_1[[#This Row],[Gross_Revenue]]-Sheet1__3_1_1_1[[#This Row],[Discount_Amount]]</f>
        <v>163.67400000000001</v>
      </c>
      <c r="R371">
        <v>90.02</v>
      </c>
      <c r="S371">
        <f>Sheet1__3_1_1_1[[#This Row],[Net_Revenue]]-Sheet1__3_1_1_1[[#This Row],[COGS]]</f>
        <v>73.654000000000011</v>
      </c>
    </row>
    <row r="372" spans="1:19" x14ac:dyDescent="0.25">
      <c r="A372" t="s">
        <v>467</v>
      </c>
      <c r="B372" s="1">
        <v>45031</v>
      </c>
      <c r="C372" t="s">
        <v>29</v>
      </c>
      <c r="D372" t="s">
        <v>38</v>
      </c>
      <c r="E372" t="s">
        <v>39</v>
      </c>
      <c r="F372" t="s">
        <v>55</v>
      </c>
      <c r="G372" t="s">
        <v>67</v>
      </c>
      <c r="H372" t="s">
        <v>41</v>
      </c>
      <c r="I372" t="s">
        <v>25</v>
      </c>
      <c r="J372" t="s">
        <v>35</v>
      </c>
      <c r="K372" t="s">
        <v>143</v>
      </c>
      <c r="L372">
        <v>79.34</v>
      </c>
      <c r="M372">
        <v>5</v>
      </c>
      <c r="N372" s="2">
        <v>0</v>
      </c>
      <c r="O372">
        <v>396.70000000000005</v>
      </c>
      <c r="P372">
        <v>0</v>
      </c>
      <c r="Q372">
        <f>Sheet1__3_1_1_1[[#This Row],[Gross_Revenue]]-Sheet1__3_1_1_1[[#This Row],[Discount_Amount]]</f>
        <v>396.70000000000005</v>
      </c>
      <c r="R372">
        <v>166.61</v>
      </c>
      <c r="S372">
        <f>Sheet1__3_1_1_1[[#This Row],[Net_Revenue]]-Sheet1__3_1_1_1[[#This Row],[COGS]]</f>
        <v>230.09000000000003</v>
      </c>
    </row>
    <row r="373" spans="1:19" x14ac:dyDescent="0.25">
      <c r="A373" t="s">
        <v>468</v>
      </c>
      <c r="B373" s="1">
        <v>44786</v>
      </c>
      <c r="C373" t="s">
        <v>44</v>
      </c>
      <c r="D373" t="s">
        <v>45</v>
      </c>
      <c r="E373" t="s">
        <v>21</v>
      </c>
      <c r="F373" t="s">
        <v>69</v>
      </c>
      <c r="G373" t="s">
        <v>126</v>
      </c>
      <c r="H373" t="s">
        <v>57</v>
      </c>
      <c r="I373" t="s">
        <v>60</v>
      </c>
      <c r="J373" t="s">
        <v>89</v>
      </c>
      <c r="K373" t="s">
        <v>36</v>
      </c>
      <c r="L373">
        <v>30.39</v>
      </c>
      <c r="M373">
        <v>1</v>
      </c>
      <c r="N373" s="2">
        <v>0.15</v>
      </c>
      <c r="O373">
        <v>30.39</v>
      </c>
      <c r="P373">
        <v>4.5584999999999996</v>
      </c>
      <c r="Q373">
        <f>Sheet1__3_1_1_1[[#This Row],[Gross_Revenue]]-Sheet1__3_1_1_1[[#This Row],[Discount_Amount]]</f>
        <v>25.831500000000002</v>
      </c>
      <c r="R373">
        <v>9.82</v>
      </c>
      <c r="S373">
        <f>Sheet1__3_1_1_1[[#This Row],[Net_Revenue]]-Sheet1__3_1_1_1[[#This Row],[COGS]]</f>
        <v>16.011500000000002</v>
      </c>
    </row>
    <row r="374" spans="1:19" x14ac:dyDescent="0.25">
      <c r="A374" t="s">
        <v>469</v>
      </c>
      <c r="B374" s="1">
        <v>45016</v>
      </c>
      <c r="C374" t="s">
        <v>19</v>
      </c>
      <c r="D374" t="s">
        <v>130</v>
      </c>
      <c r="E374" t="s">
        <v>21</v>
      </c>
      <c r="F374" t="s">
        <v>22</v>
      </c>
      <c r="G374" t="s">
        <v>46</v>
      </c>
      <c r="H374" t="s">
        <v>52</v>
      </c>
      <c r="I374" t="s">
        <v>60</v>
      </c>
      <c r="J374" t="s">
        <v>89</v>
      </c>
      <c r="K374" t="s">
        <v>36</v>
      </c>
      <c r="L374">
        <v>20.32</v>
      </c>
      <c r="M374">
        <v>17</v>
      </c>
      <c r="N374" s="2">
        <v>0</v>
      </c>
      <c r="O374">
        <v>345.44</v>
      </c>
      <c r="P374">
        <v>0</v>
      </c>
      <c r="Q374">
        <f>Sheet1__3_1_1_1[[#This Row],[Gross_Revenue]]-Sheet1__3_1_1_1[[#This Row],[Discount_Amount]]</f>
        <v>345.44</v>
      </c>
      <c r="R374">
        <v>189.99</v>
      </c>
      <c r="S374">
        <f>Sheet1__3_1_1_1[[#This Row],[Net_Revenue]]-Sheet1__3_1_1_1[[#This Row],[COGS]]</f>
        <v>155.44999999999999</v>
      </c>
    </row>
    <row r="375" spans="1:19" x14ac:dyDescent="0.25">
      <c r="A375" t="s">
        <v>470</v>
      </c>
      <c r="B375" s="1">
        <v>44699</v>
      </c>
      <c r="C375" t="s">
        <v>44</v>
      </c>
      <c r="D375" t="s">
        <v>51</v>
      </c>
      <c r="E375" t="s">
        <v>39</v>
      </c>
      <c r="F375" t="s">
        <v>31</v>
      </c>
      <c r="G375" t="s">
        <v>122</v>
      </c>
      <c r="H375" t="s">
        <v>41</v>
      </c>
      <c r="I375" t="s">
        <v>42</v>
      </c>
      <c r="J375" t="s">
        <v>35</v>
      </c>
      <c r="K375" t="s">
        <v>143</v>
      </c>
      <c r="L375">
        <v>395.88</v>
      </c>
      <c r="M375">
        <v>5</v>
      </c>
      <c r="N375" s="2">
        <v>0</v>
      </c>
      <c r="O375">
        <v>1979.4</v>
      </c>
      <c r="P375">
        <v>0</v>
      </c>
      <c r="Q375">
        <f>Sheet1__3_1_1_1[[#This Row],[Gross_Revenue]]-Sheet1__3_1_1_1[[#This Row],[Discount_Amount]]</f>
        <v>1979.4</v>
      </c>
      <c r="R375">
        <v>950.11</v>
      </c>
      <c r="S375">
        <f>Sheet1__3_1_1_1[[#This Row],[Net_Revenue]]-Sheet1__3_1_1_1[[#This Row],[COGS]]</f>
        <v>1029.29</v>
      </c>
    </row>
    <row r="376" spans="1:19" x14ac:dyDescent="0.25">
      <c r="A376" t="s">
        <v>471</v>
      </c>
      <c r="B376" s="1">
        <v>44858</v>
      </c>
      <c r="C376" t="s">
        <v>29</v>
      </c>
      <c r="D376" t="s">
        <v>62</v>
      </c>
      <c r="E376" t="s">
        <v>63</v>
      </c>
      <c r="F376" t="s">
        <v>79</v>
      </c>
      <c r="G376" t="s">
        <v>80</v>
      </c>
      <c r="H376" t="s">
        <v>87</v>
      </c>
      <c r="I376" t="s">
        <v>25</v>
      </c>
      <c r="J376" t="s">
        <v>94</v>
      </c>
      <c r="K376" t="s">
        <v>143</v>
      </c>
      <c r="L376">
        <v>549.72</v>
      </c>
      <c r="M376">
        <v>7</v>
      </c>
      <c r="N376" s="2">
        <v>0.1</v>
      </c>
      <c r="O376">
        <v>3848.04</v>
      </c>
      <c r="P376">
        <v>384.80400000000003</v>
      </c>
      <c r="Q376">
        <f>Sheet1__3_1_1_1[[#This Row],[Gross_Revenue]]-Sheet1__3_1_1_1[[#This Row],[Discount_Amount]]</f>
        <v>3463.2359999999999</v>
      </c>
      <c r="R376">
        <v>2147.21</v>
      </c>
      <c r="S376">
        <f>Sheet1__3_1_1_1[[#This Row],[Net_Revenue]]-Sheet1__3_1_1_1[[#This Row],[COGS]]</f>
        <v>1316.0259999999998</v>
      </c>
    </row>
    <row r="377" spans="1:19" x14ac:dyDescent="0.25">
      <c r="A377" t="s">
        <v>472</v>
      </c>
      <c r="B377" s="1">
        <v>45272</v>
      </c>
      <c r="C377" t="s">
        <v>99</v>
      </c>
      <c r="D377" t="s">
        <v>148</v>
      </c>
      <c r="E377" t="s">
        <v>21</v>
      </c>
      <c r="F377" t="s">
        <v>79</v>
      </c>
      <c r="G377" t="s">
        <v>80</v>
      </c>
      <c r="H377" t="s">
        <v>106</v>
      </c>
      <c r="I377" t="s">
        <v>34</v>
      </c>
      <c r="J377" t="s">
        <v>49</v>
      </c>
      <c r="K377" t="s">
        <v>36</v>
      </c>
      <c r="L377">
        <v>598.21</v>
      </c>
      <c r="M377">
        <v>5</v>
      </c>
      <c r="N377" s="2">
        <v>0</v>
      </c>
      <c r="O377">
        <v>2991.05</v>
      </c>
      <c r="P377">
        <v>0</v>
      </c>
      <c r="Q377">
        <f>Sheet1__3_1_1_1[[#This Row],[Gross_Revenue]]-Sheet1__3_1_1_1[[#This Row],[Discount_Amount]]</f>
        <v>2991.05</v>
      </c>
      <c r="R377">
        <v>1854.45</v>
      </c>
      <c r="S377">
        <f>Sheet1__3_1_1_1[[#This Row],[Net_Revenue]]-Sheet1__3_1_1_1[[#This Row],[COGS]]</f>
        <v>1136.6000000000001</v>
      </c>
    </row>
    <row r="378" spans="1:19" x14ac:dyDescent="0.25">
      <c r="A378" t="s">
        <v>473</v>
      </c>
      <c r="B378" s="1">
        <v>45051</v>
      </c>
      <c r="C378" t="s">
        <v>29</v>
      </c>
      <c r="D378" t="s">
        <v>38</v>
      </c>
      <c r="E378" t="s">
        <v>66</v>
      </c>
      <c r="F378" t="s">
        <v>55</v>
      </c>
      <c r="G378" t="s">
        <v>103</v>
      </c>
      <c r="H378" t="s">
        <v>24</v>
      </c>
      <c r="I378" t="s">
        <v>48</v>
      </c>
      <c r="J378" t="s">
        <v>49</v>
      </c>
      <c r="K378" t="s">
        <v>36</v>
      </c>
      <c r="L378">
        <v>187.91</v>
      </c>
      <c r="M378">
        <v>5</v>
      </c>
      <c r="N378" s="2">
        <v>0</v>
      </c>
      <c r="O378">
        <v>939.55</v>
      </c>
      <c r="P378">
        <v>0</v>
      </c>
      <c r="Q378">
        <f>Sheet1__3_1_1_1[[#This Row],[Gross_Revenue]]-Sheet1__3_1_1_1[[#This Row],[Discount_Amount]]</f>
        <v>939.55</v>
      </c>
      <c r="R378">
        <v>394.61</v>
      </c>
      <c r="S378">
        <f>Sheet1__3_1_1_1[[#This Row],[Net_Revenue]]-Sheet1__3_1_1_1[[#This Row],[COGS]]</f>
        <v>544.93999999999994</v>
      </c>
    </row>
    <row r="379" spans="1:19" x14ac:dyDescent="0.25">
      <c r="A379" t="s">
        <v>474</v>
      </c>
      <c r="B379" s="1">
        <v>44602</v>
      </c>
      <c r="C379" t="s">
        <v>19</v>
      </c>
      <c r="D379" t="s">
        <v>130</v>
      </c>
      <c r="E379" t="s">
        <v>21</v>
      </c>
      <c r="F379" t="s">
        <v>22</v>
      </c>
      <c r="G379" t="s">
        <v>113</v>
      </c>
      <c r="H379" t="s">
        <v>106</v>
      </c>
      <c r="I379" t="s">
        <v>34</v>
      </c>
      <c r="J379" t="s">
        <v>49</v>
      </c>
      <c r="K379" t="s">
        <v>36</v>
      </c>
      <c r="L379">
        <v>13.84</v>
      </c>
      <c r="M379">
        <v>19</v>
      </c>
      <c r="N379" s="2">
        <v>0.2</v>
      </c>
      <c r="O379">
        <v>262.95999999999998</v>
      </c>
      <c r="P379">
        <v>52.591999999999999</v>
      </c>
      <c r="Q379">
        <f>Sheet1__3_1_1_1[[#This Row],[Gross_Revenue]]-Sheet1__3_1_1_1[[#This Row],[Discount_Amount]]</f>
        <v>210.36799999999999</v>
      </c>
      <c r="R379">
        <v>115.7</v>
      </c>
      <c r="S379">
        <f>Sheet1__3_1_1_1[[#This Row],[Net_Revenue]]-Sheet1__3_1_1_1[[#This Row],[COGS]]</f>
        <v>94.667999999999992</v>
      </c>
    </row>
    <row r="380" spans="1:19" x14ac:dyDescent="0.25">
      <c r="A380" t="s">
        <v>475</v>
      </c>
      <c r="B380" s="1">
        <v>44765</v>
      </c>
      <c r="C380" t="s">
        <v>44</v>
      </c>
      <c r="D380" t="s">
        <v>45</v>
      </c>
      <c r="E380" t="s">
        <v>21</v>
      </c>
      <c r="F380" t="s">
        <v>22</v>
      </c>
      <c r="G380" t="s">
        <v>149</v>
      </c>
      <c r="H380" t="s">
        <v>111</v>
      </c>
      <c r="I380" t="s">
        <v>60</v>
      </c>
      <c r="J380" t="s">
        <v>89</v>
      </c>
      <c r="K380" t="s">
        <v>36</v>
      </c>
      <c r="L380" t="s">
        <v>1147</v>
      </c>
      <c r="M380">
        <v>24</v>
      </c>
      <c r="N380" s="2">
        <v>0</v>
      </c>
      <c r="O380">
        <v>0</v>
      </c>
      <c r="P380">
        <v>0</v>
      </c>
      <c r="Q380">
        <f>Sheet1__3_1_1_1[[#This Row],[Gross_Revenue]]-Sheet1__3_1_1_1[[#This Row],[Discount_Amount]]</f>
        <v>0</v>
      </c>
      <c r="R380" t="s">
        <v>1147</v>
      </c>
      <c r="S380" t="e">
        <f>Sheet1__3_1_1_1[[#This Row],[Net_Revenue]]-Sheet1__3_1_1_1[[#This Row],[COGS]]</f>
        <v>#VALUE!</v>
      </c>
    </row>
    <row r="381" spans="1:19" x14ac:dyDescent="0.25">
      <c r="A381" t="s">
        <v>476</v>
      </c>
      <c r="B381" s="1">
        <v>44741</v>
      </c>
      <c r="C381" t="s">
        <v>99</v>
      </c>
      <c r="D381" t="s">
        <v>148</v>
      </c>
      <c r="E381" t="s">
        <v>66</v>
      </c>
      <c r="F381" t="s">
        <v>69</v>
      </c>
      <c r="G381" t="s">
        <v>70</v>
      </c>
      <c r="H381" t="s">
        <v>108</v>
      </c>
      <c r="I381" t="s">
        <v>34</v>
      </c>
      <c r="J381" t="s">
        <v>35</v>
      </c>
      <c r="K381" t="s">
        <v>53</v>
      </c>
      <c r="L381">
        <v>352.28</v>
      </c>
      <c r="M381">
        <v>29</v>
      </c>
      <c r="N381" s="2">
        <v>0.2</v>
      </c>
      <c r="O381">
        <v>10216.119999999999</v>
      </c>
      <c r="P381">
        <v>2043.2239999999999</v>
      </c>
      <c r="Q381">
        <f>Sheet1__3_1_1_1[[#This Row],[Gross_Revenue]]-Sheet1__3_1_1_1[[#This Row],[Discount_Amount]]</f>
        <v>8172.8959999999988</v>
      </c>
      <c r="R381">
        <v>3105.7</v>
      </c>
      <c r="S381">
        <f>Sheet1__3_1_1_1[[#This Row],[Net_Revenue]]-Sheet1__3_1_1_1[[#This Row],[COGS]]</f>
        <v>5067.195999999999</v>
      </c>
    </row>
    <row r="382" spans="1:19" x14ac:dyDescent="0.25">
      <c r="A382" t="s">
        <v>477</v>
      </c>
      <c r="B382" s="1">
        <v>44759</v>
      </c>
      <c r="C382" t="s">
        <v>77</v>
      </c>
      <c r="D382" t="s">
        <v>78</v>
      </c>
      <c r="E382" t="s">
        <v>63</v>
      </c>
      <c r="F382" t="s">
        <v>69</v>
      </c>
      <c r="G382" t="s">
        <v>101</v>
      </c>
      <c r="H382" t="s">
        <v>108</v>
      </c>
      <c r="I382" t="s">
        <v>34</v>
      </c>
      <c r="J382" t="s">
        <v>26</v>
      </c>
      <c r="K382" t="s">
        <v>27</v>
      </c>
      <c r="L382">
        <v>6.87</v>
      </c>
      <c r="M382">
        <v>5</v>
      </c>
      <c r="N382" s="2">
        <v>0.2</v>
      </c>
      <c r="O382">
        <v>34.35</v>
      </c>
      <c r="P382">
        <v>6.870000000000001</v>
      </c>
      <c r="Q382">
        <f>Sheet1__3_1_1_1[[#This Row],[Gross_Revenue]]-Sheet1__3_1_1_1[[#This Row],[Discount_Amount]]</f>
        <v>27.48</v>
      </c>
      <c r="R382">
        <v>10.44</v>
      </c>
      <c r="S382">
        <f>Sheet1__3_1_1_1[[#This Row],[Net_Revenue]]-Sheet1__3_1_1_1[[#This Row],[COGS]]</f>
        <v>17.04</v>
      </c>
    </row>
    <row r="383" spans="1:19" x14ac:dyDescent="0.25">
      <c r="A383" t="s">
        <v>478</v>
      </c>
      <c r="B383" s="1">
        <v>45217</v>
      </c>
      <c r="C383" t="s">
        <v>99</v>
      </c>
      <c r="D383" t="s">
        <v>148</v>
      </c>
      <c r="E383" t="s">
        <v>63</v>
      </c>
      <c r="F383" t="s">
        <v>69</v>
      </c>
      <c r="G383" t="s">
        <v>101</v>
      </c>
      <c r="H383" t="s">
        <v>108</v>
      </c>
      <c r="I383" t="s">
        <v>48</v>
      </c>
      <c r="J383" t="s">
        <v>35</v>
      </c>
      <c r="K383" t="s">
        <v>36</v>
      </c>
      <c r="L383">
        <v>6.8</v>
      </c>
      <c r="M383">
        <v>20</v>
      </c>
      <c r="N383" s="2">
        <v>0</v>
      </c>
      <c r="O383">
        <v>136</v>
      </c>
      <c r="P383">
        <v>0</v>
      </c>
      <c r="Q383">
        <f>Sheet1__3_1_1_1[[#This Row],[Gross_Revenue]]-Sheet1__3_1_1_1[[#This Row],[Discount_Amount]]</f>
        <v>136</v>
      </c>
      <c r="R383">
        <v>51.68</v>
      </c>
      <c r="S383">
        <f>Sheet1__3_1_1_1[[#This Row],[Net_Revenue]]-Sheet1__3_1_1_1[[#This Row],[COGS]]</f>
        <v>84.32</v>
      </c>
    </row>
    <row r="384" spans="1:19" x14ac:dyDescent="0.25">
      <c r="A384" t="s">
        <v>479</v>
      </c>
      <c r="B384" s="1">
        <v>45102</v>
      </c>
      <c r="C384" t="s">
        <v>44</v>
      </c>
      <c r="D384" t="s">
        <v>65</v>
      </c>
      <c r="E384" t="s">
        <v>39</v>
      </c>
      <c r="F384" t="s">
        <v>55</v>
      </c>
      <c r="G384" t="s">
        <v>103</v>
      </c>
      <c r="H384" t="s">
        <v>52</v>
      </c>
      <c r="I384" t="s">
        <v>60</v>
      </c>
      <c r="J384" t="s">
        <v>89</v>
      </c>
      <c r="K384" t="s">
        <v>27</v>
      </c>
      <c r="L384">
        <v>180.64</v>
      </c>
      <c r="M384">
        <v>7</v>
      </c>
      <c r="N384" s="2">
        <v>0.2</v>
      </c>
      <c r="O384">
        <v>1264.48</v>
      </c>
      <c r="P384">
        <v>252.89600000000002</v>
      </c>
      <c r="Q384">
        <f>Sheet1__3_1_1_1[[#This Row],[Gross_Revenue]]-Sheet1__3_1_1_1[[#This Row],[Discount_Amount]]</f>
        <v>1011.5840000000001</v>
      </c>
      <c r="R384">
        <v>424.86</v>
      </c>
      <c r="S384">
        <f>Sheet1__3_1_1_1[[#This Row],[Net_Revenue]]-Sheet1__3_1_1_1[[#This Row],[COGS]]</f>
        <v>586.72400000000005</v>
      </c>
    </row>
    <row r="385" spans="1:19" x14ac:dyDescent="0.25">
      <c r="A385" t="s">
        <v>480</v>
      </c>
      <c r="B385" s="1">
        <v>44885</v>
      </c>
      <c r="C385" t="s">
        <v>19</v>
      </c>
      <c r="D385" t="s">
        <v>130</v>
      </c>
      <c r="E385" t="s">
        <v>63</v>
      </c>
      <c r="F385" t="s">
        <v>69</v>
      </c>
      <c r="G385" t="s">
        <v>101</v>
      </c>
      <c r="H385" t="s">
        <v>47</v>
      </c>
      <c r="I385" t="s">
        <v>48</v>
      </c>
      <c r="J385" t="s">
        <v>26</v>
      </c>
      <c r="K385" t="s">
        <v>36</v>
      </c>
      <c r="L385">
        <v>7.24</v>
      </c>
      <c r="M385">
        <v>10</v>
      </c>
      <c r="N385" s="2">
        <v>0</v>
      </c>
      <c r="O385">
        <v>72.400000000000006</v>
      </c>
      <c r="P385">
        <v>0</v>
      </c>
      <c r="Q385">
        <f>Sheet1__3_1_1_1[[#This Row],[Gross_Revenue]]-Sheet1__3_1_1_1[[#This Row],[Discount_Amount]]</f>
        <v>72.400000000000006</v>
      </c>
      <c r="R385">
        <v>27.51</v>
      </c>
      <c r="S385">
        <f>Sheet1__3_1_1_1[[#This Row],[Net_Revenue]]-Sheet1__3_1_1_1[[#This Row],[COGS]]</f>
        <v>44.89</v>
      </c>
    </row>
    <row r="386" spans="1:19" x14ac:dyDescent="0.25">
      <c r="A386" t="s">
        <v>481</v>
      </c>
      <c r="B386" s="1">
        <v>45216</v>
      </c>
      <c r="C386" t="s">
        <v>29</v>
      </c>
      <c r="D386" t="s">
        <v>30</v>
      </c>
      <c r="E386" t="s">
        <v>63</v>
      </c>
      <c r="F386" t="s">
        <v>22</v>
      </c>
      <c r="G386" t="s">
        <v>113</v>
      </c>
      <c r="H386" t="s">
        <v>41</v>
      </c>
      <c r="I386" t="s">
        <v>34</v>
      </c>
      <c r="J386" t="s">
        <v>89</v>
      </c>
      <c r="K386" t="s">
        <v>36</v>
      </c>
      <c r="L386">
        <v>13.72</v>
      </c>
      <c r="M386">
        <v>27</v>
      </c>
      <c r="N386" s="2">
        <v>0</v>
      </c>
      <c r="O386">
        <v>370.44</v>
      </c>
      <c r="P386">
        <v>0</v>
      </c>
      <c r="Q386">
        <f>Sheet1__3_1_1_1[[#This Row],[Gross_Revenue]]-Sheet1__3_1_1_1[[#This Row],[Discount_Amount]]</f>
        <v>370.44</v>
      </c>
      <c r="R386">
        <v>203.74</v>
      </c>
      <c r="S386">
        <f>Sheet1__3_1_1_1[[#This Row],[Net_Revenue]]-Sheet1__3_1_1_1[[#This Row],[COGS]]</f>
        <v>166.7</v>
      </c>
    </row>
    <row r="387" spans="1:19" x14ac:dyDescent="0.25">
      <c r="A387" t="s">
        <v>482</v>
      </c>
      <c r="B387" s="1">
        <v>44942</v>
      </c>
      <c r="C387" t="s">
        <v>19</v>
      </c>
      <c r="D387" t="s">
        <v>20</v>
      </c>
      <c r="E387" t="s">
        <v>63</v>
      </c>
      <c r="F387" t="s">
        <v>69</v>
      </c>
      <c r="G387" t="s">
        <v>70</v>
      </c>
      <c r="H387" t="s">
        <v>24</v>
      </c>
      <c r="I387" t="s">
        <v>25</v>
      </c>
      <c r="J387" t="s">
        <v>49</v>
      </c>
      <c r="K387" t="s">
        <v>143</v>
      </c>
      <c r="L387">
        <v>332.44</v>
      </c>
      <c r="M387">
        <v>7</v>
      </c>
      <c r="N387" s="2">
        <v>0.1</v>
      </c>
      <c r="O387">
        <v>2327.08</v>
      </c>
      <c r="P387">
        <v>232.708</v>
      </c>
      <c r="Q387">
        <f>Sheet1__3_1_1_1[[#This Row],[Gross_Revenue]]-Sheet1__3_1_1_1[[#This Row],[Discount_Amount]]</f>
        <v>2094.3719999999998</v>
      </c>
      <c r="R387">
        <v>795.86</v>
      </c>
      <c r="S387">
        <f>Sheet1__3_1_1_1[[#This Row],[Net_Revenue]]-Sheet1__3_1_1_1[[#This Row],[COGS]]</f>
        <v>1298.5119999999997</v>
      </c>
    </row>
    <row r="388" spans="1:19" x14ac:dyDescent="0.25">
      <c r="A388" t="s">
        <v>483</v>
      </c>
      <c r="B388" s="1">
        <v>44815</v>
      </c>
      <c r="C388" t="s">
        <v>77</v>
      </c>
      <c r="D388" t="s">
        <v>78</v>
      </c>
      <c r="E388" t="s">
        <v>39</v>
      </c>
      <c r="F388" t="s">
        <v>31</v>
      </c>
      <c r="G388" t="s">
        <v>122</v>
      </c>
      <c r="H388" t="s">
        <v>52</v>
      </c>
      <c r="I388" t="s">
        <v>42</v>
      </c>
      <c r="J388" t="s">
        <v>94</v>
      </c>
      <c r="K388" t="s">
        <v>53</v>
      </c>
      <c r="L388">
        <v>396.09</v>
      </c>
      <c r="M388">
        <v>2</v>
      </c>
      <c r="N388" s="2">
        <v>0.05</v>
      </c>
      <c r="O388">
        <v>792.18</v>
      </c>
      <c r="P388">
        <v>39.609000000000002</v>
      </c>
      <c r="Q388">
        <f>Sheet1__3_1_1_1[[#This Row],[Gross_Revenue]]-Sheet1__3_1_1_1[[#This Row],[Discount_Amount]]</f>
        <v>752.57099999999991</v>
      </c>
      <c r="R388">
        <v>361.23</v>
      </c>
      <c r="S388">
        <f>Sheet1__3_1_1_1[[#This Row],[Net_Revenue]]-Sheet1__3_1_1_1[[#This Row],[COGS]]</f>
        <v>391.34099999999989</v>
      </c>
    </row>
    <row r="389" spans="1:19" x14ac:dyDescent="0.25">
      <c r="A389" t="s">
        <v>484</v>
      </c>
      <c r="B389" s="1">
        <v>44588</v>
      </c>
      <c r="C389" t="s">
        <v>77</v>
      </c>
      <c r="D389" t="s">
        <v>82</v>
      </c>
      <c r="E389" t="s">
        <v>63</v>
      </c>
      <c r="F389" t="s">
        <v>31</v>
      </c>
      <c r="G389" t="s">
        <v>32</v>
      </c>
      <c r="H389" t="s">
        <v>59</v>
      </c>
      <c r="I389" t="s">
        <v>25</v>
      </c>
      <c r="J389" t="s">
        <v>35</v>
      </c>
      <c r="K389" t="s">
        <v>36</v>
      </c>
      <c r="L389">
        <v>368.11</v>
      </c>
      <c r="M389">
        <v>1</v>
      </c>
      <c r="N389" s="2">
        <v>0.2</v>
      </c>
      <c r="O389">
        <v>368.11</v>
      </c>
      <c r="P389">
        <v>73.622</v>
      </c>
      <c r="Q389">
        <f>Sheet1__3_1_1_1[[#This Row],[Gross_Revenue]]-Sheet1__3_1_1_1[[#This Row],[Discount_Amount]]</f>
        <v>294.488</v>
      </c>
      <c r="R389">
        <v>141.36000000000001</v>
      </c>
      <c r="S389">
        <f>Sheet1__3_1_1_1[[#This Row],[Net_Revenue]]-Sheet1__3_1_1_1[[#This Row],[COGS]]</f>
        <v>153.12799999999999</v>
      </c>
    </row>
    <row r="390" spans="1:19" x14ac:dyDescent="0.25">
      <c r="A390" t="s">
        <v>485</v>
      </c>
      <c r="B390" s="1">
        <v>45263</v>
      </c>
      <c r="C390" t="s">
        <v>19</v>
      </c>
      <c r="D390" t="s">
        <v>20</v>
      </c>
      <c r="E390" t="s">
        <v>21</v>
      </c>
      <c r="F390" t="s">
        <v>55</v>
      </c>
      <c r="G390" t="s">
        <v>67</v>
      </c>
      <c r="H390" t="s">
        <v>71</v>
      </c>
      <c r="I390" t="s">
        <v>25</v>
      </c>
      <c r="J390" t="s">
        <v>94</v>
      </c>
      <c r="K390" t="s">
        <v>143</v>
      </c>
      <c r="L390">
        <v>81.790000000000006</v>
      </c>
      <c r="M390">
        <v>3</v>
      </c>
      <c r="N390" s="2">
        <v>0.1</v>
      </c>
      <c r="O390">
        <v>245.37</v>
      </c>
      <c r="P390">
        <v>24.537000000000003</v>
      </c>
      <c r="Q390">
        <f>Sheet1__3_1_1_1[[#This Row],[Gross_Revenue]]-Sheet1__3_1_1_1[[#This Row],[Discount_Amount]]</f>
        <v>220.833</v>
      </c>
      <c r="R390">
        <v>92.75</v>
      </c>
      <c r="S390">
        <f>Sheet1__3_1_1_1[[#This Row],[Net_Revenue]]-Sheet1__3_1_1_1[[#This Row],[COGS]]</f>
        <v>128.083</v>
      </c>
    </row>
    <row r="391" spans="1:19" x14ac:dyDescent="0.25">
      <c r="A391" t="s">
        <v>486</v>
      </c>
      <c r="B391" s="1">
        <v>44847</v>
      </c>
      <c r="C391" t="s">
        <v>29</v>
      </c>
      <c r="D391" t="s">
        <v>62</v>
      </c>
      <c r="E391" t="s">
        <v>66</v>
      </c>
      <c r="F391" t="s">
        <v>55</v>
      </c>
      <c r="G391" t="s">
        <v>67</v>
      </c>
      <c r="H391" t="s">
        <v>59</v>
      </c>
      <c r="I391" t="s">
        <v>42</v>
      </c>
      <c r="J391" t="s">
        <v>94</v>
      </c>
      <c r="K391" t="s">
        <v>27</v>
      </c>
      <c r="L391">
        <v>84.47</v>
      </c>
      <c r="M391">
        <v>3</v>
      </c>
      <c r="N391" s="2">
        <v>0.1</v>
      </c>
      <c r="O391">
        <v>253.41</v>
      </c>
      <c r="P391">
        <v>25.341000000000001</v>
      </c>
      <c r="Q391">
        <f>Sheet1__3_1_1_1[[#This Row],[Gross_Revenue]]-Sheet1__3_1_1_1[[#This Row],[Discount_Amount]]</f>
        <v>228.06899999999999</v>
      </c>
      <c r="R391">
        <v>95.79</v>
      </c>
      <c r="S391">
        <f>Sheet1__3_1_1_1[[#This Row],[Net_Revenue]]-Sheet1__3_1_1_1[[#This Row],[COGS]]</f>
        <v>132.279</v>
      </c>
    </row>
    <row r="392" spans="1:19" x14ac:dyDescent="0.25">
      <c r="A392" t="s">
        <v>487</v>
      </c>
      <c r="B392" s="1">
        <v>45117</v>
      </c>
      <c r="C392" t="s">
        <v>77</v>
      </c>
      <c r="D392" t="s">
        <v>78</v>
      </c>
      <c r="E392" t="s">
        <v>63</v>
      </c>
      <c r="F392" t="s">
        <v>79</v>
      </c>
      <c r="G392" t="s">
        <v>80</v>
      </c>
      <c r="H392" t="s">
        <v>106</v>
      </c>
      <c r="I392" t="s">
        <v>25</v>
      </c>
      <c r="J392" t="s">
        <v>89</v>
      </c>
      <c r="K392" t="s">
        <v>143</v>
      </c>
      <c r="L392" t="s">
        <v>1147</v>
      </c>
      <c r="M392">
        <v>7</v>
      </c>
      <c r="N392" s="2">
        <v>0.05</v>
      </c>
      <c r="O392">
        <v>0</v>
      </c>
      <c r="P392">
        <v>0</v>
      </c>
      <c r="Q392">
        <f>Sheet1__3_1_1_1[[#This Row],[Gross_Revenue]]-Sheet1__3_1_1_1[[#This Row],[Discount_Amount]]</f>
        <v>0</v>
      </c>
      <c r="R392" t="s">
        <v>1147</v>
      </c>
      <c r="S392" t="e">
        <f>Sheet1__3_1_1_1[[#This Row],[Net_Revenue]]-Sheet1__3_1_1_1[[#This Row],[COGS]]</f>
        <v>#VALUE!</v>
      </c>
    </row>
    <row r="393" spans="1:19" x14ac:dyDescent="0.25">
      <c r="A393" t="s">
        <v>488</v>
      </c>
      <c r="B393" s="1">
        <v>45251</v>
      </c>
      <c r="C393" t="s">
        <v>29</v>
      </c>
      <c r="D393" t="s">
        <v>30</v>
      </c>
      <c r="E393" t="s">
        <v>66</v>
      </c>
      <c r="F393" t="s">
        <v>22</v>
      </c>
      <c r="G393" t="s">
        <v>149</v>
      </c>
      <c r="H393" t="s">
        <v>111</v>
      </c>
      <c r="I393" t="s">
        <v>25</v>
      </c>
      <c r="J393" t="s">
        <v>49</v>
      </c>
      <c r="K393" t="s">
        <v>36</v>
      </c>
      <c r="L393">
        <v>24.47</v>
      </c>
      <c r="M393">
        <v>15</v>
      </c>
      <c r="N393" s="2">
        <v>0.15</v>
      </c>
      <c r="O393">
        <v>367.04999999999995</v>
      </c>
      <c r="P393">
        <v>55.05749999999999</v>
      </c>
      <c r="Q393">
        <f>Sheet1__3_1_1_1[[#This Row],[Gross_Revenue]]-Sheet1__3_1_1_1[[#This Row],[Discount_Amount]]</f>
        <v>311.99249999999995</v>
      </c>
      <c r="R393">
        <v>171.59</v>
      </c>
      <c r="S393">
        <f>Sheet1__3_1_1_1[[#This Row],[Net_Revenue]]-Sheet1__3_1_1_1[[#This Row],[COGS]]</f>
        <v>140.40249999999995</v>
      </c>
    </row>
    <row r="394" spans="1:19" x14ac:dyDescent="0.25">
      <c r="A394" t="s">
        <v>489</v>
      </c>
      <c r="B394" s="1">
        <v>44569</v>
      </c>
      <c r="C394" t="s">
        <v>44</v>
      </c>
      <c r="D394" t="s">
        <v>51</v>
      </c>
      <c r="E394" t="s">
        <v>21</v>
      </c>
      <c r="F394" t="s">
        <v>79</v>
      </c>
      <c r="G394" t="s">
        <v>172</v>
      </c>
      <c r="H394" t="s">
        <v>111</v>
      </c>
      <c r="I394" t="s">
        <v>25</v>
      </c>
      <c r="J394" t="s">
        <v>35</v>
      </c>
      <c r="K394" t="s">
        <v>143</v>
      </c>
      <c r="L394">
        <v>354.74</v>
      </c>
      <c r="M394">
        <v>2</v>
      </c>
      <c r="N394" s="2">
        <v>0</v>
      </c>
      <c r="O394">
        <v>709.48</v>
      </c>
      <c r="P394">
        <v>0</v>
      </c>
      <c r="Q394">
        <f>Sheet1__3_1_1_1[[#This Row],[Gross_Revenue]]-Sheet1__3_1_1_1[[#This Row],[Discount_Amount]]</f>
        <v>709.48</v>
      </c>
      <c r="R394">
        <v>439.88</v>
      </c>
      <c r="S394">
        <f>Sheet1__3_1_1_1[[#This Row],[Net_Revenue]]-Sheet1__3_1_1_1[[#This Row],[COGS]]</f>
        <v>269.60000000000002</v>
      </c>
    </row>
    <row r="395" spans="1:19" x14ac:dyDescent="0.25">
      <c r="A395" t="s">
        <v>490</v>
      </c>
      <c r="B395" s="1">
        <v>45112</v>
      </c>
      <c r="C395" t="s">
        <v>44</v>
      </c>
      <c r="D395" t="s">
        <v>65</v>
      </c>
      <c r="E395" t="s">
        <v>66</v>
      </c>
      <c r="F395" t="s">
        <v>79</v>
      </c>
      <c r="G395" t="s">
        <v>80</v>
      </c>
      <c r="H395" t="s">
        <v>52</v>
      </c>
      <c r="I395" t="s">
        <v>60</v>
      </c>
      <c r="J395" t="s">
        <v>94</v>
      </c>
      <c r="K395" t="s">
        <v>36</v>
      </c>
      <c r="L395">
        <v>639.05999999999995</v>
      </c>
      <c r="M395">
        <v>7</v>
      </c>
      <c r="N395" s="2">
        <v>0.15</v>
      </c>
      <c r="O395">
        <v>4473.42</v>
      </c>
      <c r="P395">
        <v>671.01300000000003</v>
      </c>
      <c r="Q395">
        <f>Sheet1__3_1_1_1[[#This Row],[Gross_Revenue]]-Sheet1__3_1_1_1[[#This Row],[Discount_Amount]]</f>
        <v>3802.4070000000002</v>
      </c>
      <c r="R395">
        <v>2357.4899999999998</v>
      </c>
      <c r="S395">
        <f>Sheet1__3_1_1_1[[#This Row],[Net_Revenue]]-Sheet1__3_1_1_1[[#This Row],[COGS]]</f>
        <v>1444.9170000000004</v>
      </c>
    </row>
    <row r="396" spans="1:19" x14ac:dyDescent="0.25">
      <c r="A396" t="s">
        <v>491</v>
      </c>
      <c r="B396" s="1">
        <v>45033</v>
      </c>
      <c r="C396" t="s">
        <v>29</v>
      </c>
      <c r="D396" t="s">
        <v>62</v>
      </c>
      <c r="E396" t="s">
        <v>63</v>
      </c>
      <c r="F396" t="s">
        <v>31</v>
      </c>
      <c r="G396" t="s">
        <v>166</v>
      </c>
      <c r="H396" t="s">
        <v>106</v>
      </c>
      <c r="I396" t="s">
        <v>42</v>
      </c>
      <c r="J396" t="s">
        <v>26</v>
      </c>
      <c r="K396" t="s">
        <v>36</v>
      </c>
      <c r="L396">
        <v>332.89</v>
      </c>
      <c r="M396">
        <v>2</v>
      </c>
      <c r="N396" s="2">
        <v>0</v>
      </c>
      <c r="O396">
        <v>665.78</v>
      </c>
      <c r="P396">
        <v>0</v>
      </c>
      <c r="Q396">
        <f>Sheet1__3_1_1_1[[#This Row],[Gross_Revenue]]-Sheet1__3_1_1_1[[#This Row],[Discount_Amount]]</f>
        <v>665.78</v>
      </c>
      <c r="R396">
        <v>319.57</v>
      </c>
      <c r="S396">
        <f>Sheet1__3_1_1_1[[#This Row],[Net_Revenue]]-Sheet1__3_1_1_1[[#This Row],[COGS]]</f>
        <v>346.21</v>
      </c>
    </row>
    <row r="397" spans="1:19" x14ac:dyDescent="0.25">
      <c r="A397" t="s">
        <v>492</v>
      </c>
      <c r="B397" s="1">
        <v>45086</v>
      </c>
      <c r="C397" t="s">
        <v>77</v>
      </c>
      <c r="D397" t="s">
        <v>110</v>
      </c>
      <c r="E397" t="s">
        <v>63</v>
      </c>
      <c r="F397" t="s">
        <v>69</v>
      </c>
      <c r="G397" t="s">
        <v>70</v>
      </c>
      <c r="H397" t="s">
        <v>41</v>
      </c>
      <c r="I397" t="s">
        <v>42</v>
      </c>
      <c r="J397" t="s">
        <v>26</v>
      </c>
      <c r="K397" t="s">
        <v>36</v>
      </c>
      <c r="L397">
        <v>360.97</v>
      </c>
      <c r="M397">
        <v>20</v>
      </c>
      <c r="N397" s="2">
        <v>0.15</v>
      </c>
      <c r="O397">
        <v>7219.4000000000005</v>
      </c>
      <c r="P397">
        <v>1082.9100000000001</v>
      </c>
      <c r="Q397">
        <f>Sheet1__3_1_1_1[[#This Row],[Gross_Revenue]]-Sheet1__3_1_1_1[[#This Row],[Discount_Amount]]</f>
        <v>6136.4900000000007</v>
      </c>
      <c r="R397">
        <v>2331.87</v>
      </c>
      <c r="S397">
        <f>Sheet1__3_1_1_1[[#This Row],[Net_Revenue]]-Sheet1__3_1_1_1[[#This Row],[COGS]]</f>
        <v>3804.6200000000008</v>
      </c>
    </row>
    <row r="398" spans="1:19" x14ac:dyDescent="0.25">
      <c r="A398" t="s">
        <v>493</v>
      </c>
      <c r="B398" s="1">
        <v>45145</v>
      </c>
      <c r="C398" t="s">
        <v>19</v>
      </c>
      <c r="D398" t="s">
        <v>91</v>
      </c>
      <c r="E398" t="s">
        <v>66</v>
      </c>
      <c r="F398" t="s">
        <v>79</v>
      </c>
      <c r="G398" t="s">
        <v>56</v>
      </c>
      <c r="H398" t="s">
        <v>59</v>
      </c>
      <c r="I398" t="s">
        <v>34</v>
      </c>
      <c r="J398" t="s">
        <v>89</v>
      </c>
      <c r="K398" t="s">
        <v>53</v>
      </c>
      <c r="L398">
        <v>40.54</v>
      </c>
      <c r="M398">
        <v>1</v>
      </c>
      <c r="N398" s="2">
        <v>0.05</v>
      </c>
      <c r="O398">
        <v>40.54</v>
      </c>
      <c r="P398">
        <v>2.0270000000000001</v>
      </c>
      <c r="Q398">
        <f>Sheet1__3_1_1_1[[#This Row],[Gross_Revenue]]-Sheet1__3_1_1_1[[#This Row],[Discount_Amount]]</f>
        <v>38.512999999999998</v>
      </c>
      <c r="R398">
        <v>23.88</v>
      </c>
      <c r="S398">
        <f>Sheet1__3_1_1_1[[#This Row],[Net_Revenue]]-Sheet1__3_1_1_1[[#This Row],[COGS]]</f>
        <v>14.632999999999999</v>
      </c>
    </row>
    <row r="399" spans="1:19" x14ac:dyDescent="0.25">
      <c r="A399" t="s">
        <v>494</v>
      </c>
      <c r="B399" s="1">
        <v>44716</v>
      </c>
      <c r="C399" t="s">
        <v>29</v>
      </c>
      <c r="D399" t="s">
        <v>30</v>
      </c>
      <c r="E399" t="s">
        <v>39</v>
      </c>
      <c r="F399" t="s">
        <v>31</v>
      </c>
      <c r="G399" t="s">
        <v>93</v>
      </c>
      <c r="H399" t="s">
        <v>106</v>
      </c>
      <c r="I399" t="s">
        <v>42</v>
      </c>
      <c r="J399" t="s">
        <v>94</v>
      </c>
      <c r="K399" t="s">
        <v>36</v>
      </c>
      <c r="L399">
        <v>158.03</v>
      </c>
      <c r="M399">
        <v>1</v>
      </c>
      <c r="N399" s="2">
        <v>0</v>
      </c>
      <c r="O399">
        <v>158.03</v>
      </c>
      <c r="P399">
        <v>0</v>
      </c>
      <c r="Q399">
        <f>Sheet1__3_1_1_1[[#This Row],[Gross_Revenue]]-Sheet1__3_1_1_1[[#This Row],[Discount_Amount]]</f>
        <v>158.03</v>
      </c>
      <c r="R399">
        <v>75.849999999999994</v>
      </c>
      <c r="S399">
        <f>Sheet1__3_1_1_1[[#This Row],[Net_Revenue]]-Sheet1__3_1_1_1[[#This Row],[COGS]]</f>
        <v>82.18</v>
      </c>
    </row>
    <row r="400" spans="1:19" x14ac:dyDescent="0.25">
      <c r="A400" t="s">
        <v>495</v>
      </c>
      <c r="B400" s="1">
        <v>44952</v>
      </c>
      <c r="C400" t="s">
        <v>77</v>
      </c>
      <c r="D400" t="s">
        <v>110</v>
      </c>
      <c r="E400" t="s">
        <v>66</v>
      </c>
      <c r="F400" t="s">
        <v>31</v>
      </c>
      <c r="G400" t="s">
        <v>32</v>
      </c>
      <c r="H400" t="s">
        <v>111</v>
      </c>
      <c r="I400" t="s">
        <v>42</v>
      </c>
      <c r="J400" t="s">
        <v>26</v>
      </c>
      <c r="K400" t="s">
        <v>36</v>
      </c>
      <c r="L400">
        <v>440.24</v>
      </c>
      <c r="M400">
        <v>5</v>
      </c>
      <c r="N400" s="2">
        <v>0</v>
      </c>
      <c r="O400">
        <v>2201.1999999999998</v>
      </c>
      <c r="P400">
        <v>0</v>
      </c>
      <c r="Q400">
        <f>Sheet1__3_1_1_1[[#This Row],[Gross_Revenue]]-Sheet1__3_1_1_1[[#This Row],[Discount_Amount]]</f>
        <v>2201.1999999999998</v>
      </c>
      <c r="R400">
        <v>1056.58</v>
      </c>
      <c r="S400">
        <f>Sheet1__3_1_1_1[[#This Row],[Net_Revenue]]-Sheet1__3_1_1_1[[#This Row],[COGS]]</f>
        <v>1144.6199999999999</v>
      </c>
    </row>
    <row r="401" spans="1:19" x14ac:dyDescent="0.25">
      <c r="A401" t="s">
        <v>496</v>
      </c>
      <c r="B401" s="1">
        <v>45258</v>
      </c>
      <c r="C401" t="s">
        <v>44</v>
      </c>
      <c r="D401" t="s">
        <v>65</v>
      </c>
      <c r="E401" t="s">
        <v>39</v>
      </c>
      <c r="F401" t="s">
        <v>55</v>
      </c>
      <c r="G401" t="s">
        <v>56</v>
      </c>
      <c r="H401" t="s">
        <v>59</v>
      </c>
      <c r="I401" t="s">
        <v>60</v>
      </c>
      <c r="J401" t="s">
        <v>94</v>
      </c>
      <c r="K401" t="s">
        <v>36</v>
      </c>
      <c r="L401">
        <v>42.67</v>
      </c>
      <c r="M401">
        <v>3</v>
      </c>
      <c r="N401" s="2">
        <v>0.2</v>
      </c>
      <c r="O401">
        <v>128.01</v>
      </c>
      <c r="P401">
        <v>25.602</v>
      </c>
      <c r="Q401">
        <f>Sheet1__3_1_1_1[[#This Row],[Gross_Revenue]]-Sheet1__3_1_1_1[[#This Row],[Discount_Amount]]</f>
        <v>102.40799999999999</v>
      </c>
      <c r="R401">
        <v>43.01</v>
      </c>
      <c r="S401">
        <f>Sheet1__3_1_1_1[[#This Row],[Net_Revenue]]-Sheet1__3_1_1_1[[#This Row],[COGS]]</f>
        <v>59.397999999999989</v>
      </c>
    </row>
    <row r="402" spans="1:19" x14ac:dyDescent="0.25">
      <c r="A402" t="s">
        <v>497</v>
      </c>
      <c r="B402" s="1">
        <v>45193</v>
      </c>
      <c r="C402" t="s">
        <v>77</v>
      </c>
      <c r="D402" t="s">
        <v>110</v>
      </c>
      <c r="E402" t="s">
        <v>21</v>
      </c>
      <c r="F402" t="s">
        <v>31</v>
      </c>
      <c r="G402" t="s">
        <v>166</v>
      </c>
      <c r="H402" t="s">
        <v>111</v>
      </c>
      <c r="I402" t="s">
        <v>60</v>
      </c>
      <c r="J402" t="s">
        <v>35</v>
      </c>
      <c r="K402" t="s">
        <v>143</v>
      </c>
      <c r="L402">
        <v>264.58999999999997</v>
      </c>
      <c r="M402">
        <v>2</v>
      </c>
      <c r="N402" s="2">
        <v>0</v>
      </c>
      <c r="O402">
        <v>529.17999999999995</v>
      </c>
      <c r="P402">
        <v>0</v>
      </c>
      <c r="Q402">
        <f>Sheet1__3_1_1_1[[#This Row],[Gross_Revenue]]-Sheet1__3_1_1_1[[#This Row],[Discount_Amount]]</f>
        <v>529.17999999999995</v>
      </c>
      <c r="R402">
        <v>254.01</v>
      </c>
      <c r="S402">
        <f>Sheet1__3_1_1_1[[#This Row],[Net_Revenue]]-Sheet1__3_1_1_1[[#This Row],[COGS]]</f>
        <v>275.16999999999996</v>
      </c>
    </row>
    <row r="403" spans="1:19" x14ac:dyDescent="0.25">
      <c r="A403" t="s">
        <v>498</v>
      </c>
      <c r="B403" s="1">
        <v>44697</v>
      </c>
      <c r="C403" t="s">
        <v>44</v>
      </c>
      <c r="D403" t="s">
        <v>51</v>
      </c>
      <c r="E403" t="s">
        <v>66</v>
      </c>
      <c r="F403" t="s">
        <v>55</v>
      </c>
      <c r="G403" t="s">
        <v>103</v>
      </c>
      <c r="H403" t="s">
        <v>41</v>
      </c>
      <c r="I403" t="s">
        <v>60</v>
      </c>
      <c r="J403" t="s">
        <v>94</v>
      </c>
      <c r="K403" t="s">
        <v>143</v>
      </c>
      <c r="L403">
        <v>181.57</v>
      </c>
      <c r="M403">
        <v>2</v>
      </c>
      <c r="N403" s="2">
        <v>0</v>
      </c>
      <c r="O403">
        <v>363.14</v>
      </c>
      <c r="P403">
        <v>0</v>
      </c>
      <c r="Q403">
        <f>Sheet1__3_1_1_1[[#This Row],[Gross_Revenue]]-Sheet1__3_1_1_1[[#This Row],[Discount_Amount]]</f>
        <v>363.14</v>
      </c>
      <c r="R403">
        <v>152.52000000000001</v>
      </c>
      <c r="S403">
        <f>Sheet1__3_1_1_1[[#This Row],[Net_Revenue]]-Sheet1__3_1_1_1[[#This Row],[COGS]]</f>
        <v>210.61999999999998</v>
      </c>
    </row>
    <row r="404" spans="1:19" x14ac:dyDescent="0.25">
      <c r="A404" t="s">
        <v>499</v>
      </c>
      <c r="B404" s="1">
        <v>45100</v>
      </c>
      <c r="C404" t="s">
        <v>99</v>
      </c>
      <c r="D404" t="s">
        <v>132</v>
      </c>
      <c r="E404" t="s">
        <v>39</v>
      </c>
      <c r="F404" t="s">
        <v>22</v>
      </c>
      <c r="G404" t="s">
        <v>149</v>
      </c>
      <c r="H404" t="s">
        <v>47</v>
      </c>
      <c r="I404" t="s">
        <v>60</v>
      </c>
      <c r="J404" t="s">
        <v>94</v>
      </c>
      <c r="K404" t="s">
        <v>27</v>
      </c>
      <c r="L404">
        <v>19.510000000000002</v>
      </c>
      <c r="M404">
        <v>8</v>
      </c>
      <c r="N404" s="2">
        <v>0</v>
      </c>
      <c r="O404">
        <v>156.08000000000001</v>
      </c>
      <c r="P404">
        <v>0</v>
      </c>
      <c r="Q404">
        <f>Sheet1__3_1_1_1[[#This Row],[Gross_Revenue]]-Sheet1__3_1_1_1[[#This Row],[Discount_Amount]]</f>
        <v>156.08000000000001</v>
      </c>
      <c r="R404">
        <v>85.84</v>
      </c>
      <c r="S404">
        <f>Sheet1__3_1_1_1[[#This Row],[Net_Revenue]]-Sheet1__3_1_1_1[[#This Row],[COGS]]</f>
        <v>70.240000000000009</v>
      </c>
    </row>
    <row r="405" spans="1:19" x14ac:dyDescent="0.25">
      <c r="A405" t="s">
        <v>500</v>
      </c>
      <c r="B405" s="1">
        <v>44664</v>
      </c>
      <c r="C405" t="s">
        <v>77</v>
      </c>
      <c r="D405" t="s">
        <v>78</v>
      </c>
      <c r="E405" t="s">
        <v>66</v>
      </c>
      <c r="F405" t="s">
        <v>55</v>
      </c>
      <c r="G405" t="s">
        <v>83</v>
      </c>
      <c r="H405" t="s">
        <v>52</v>
      </c>
      <c r="I405" t="s">
        <v>60</v>
      </c>
      <c r="J405" t="s">
        <v>49</v>
      </c>
      <c r="K405" t="s">
        <v>27</v>
      </c>
      <c r="L405">
        <v>55.7</v>
      </c>
      <c r="M405">
        <v>8</v>
      </c>
      <c r="N405" s="2">
        <v>0.05</v>
      </c>
      <c r="O405">
        <v>445.6</v>
      </c>
      <c r="P405">
        <v>22.28</v>
      </c>
      <c r="Q405">
        <f>Sheet1__3_1_1_1[[#This Row],[Gross_Revenue]]-Sheet1__3_1_1_1[[#This Row],[Discount_Amount]]</f>
        <v>423.32000000000005</v>
      </c>
      <c r="R405">
        <v>177.79</v>
      </c>
      <c r="S405">
        <f>Sheet1__3_1_1_1[[#This Row],[Net_Revenue]]-Sheet1__3_1_1_1[[#This Row],[COGS]]</f>
        <v>245.53000000000006</v>
      </c>
    </row>
    <row r="406" spans="1:19" x14ac:dyDescent="0.25">
      <c r="A406" t="s">
        <v>501</v>
      </c>
      <c r="B406" s="1">
        <v>44861</v>
      </c>
      <c r="C406" t="s">
        <v>77</v>
      </c>
      <c r="D406" t="s">
        <v>78</v>
      </c>
      <c r="E406" t="s">
        <v>63</v>
      </c>
      <c r="F406" t="s">
        <v>55</v>
      </c>
      <c r="G406" t="s">
        <v>56</v>
      </c>
      <c r="H406" t="s">
        <v>41</v>
      </c>
      <c r="I406" t="s">
        <v>48</v>
      </c>
      <c r="J406" t="s">
        <v>94</v>
      </c>
      <c r="K406" t="s">
        <v>36</v>
      </c>
      <c r="L406">
        <v>42.19</v>
      </c>
      <c r="M406">
        <v>5</v>
      </c>
      <c r="N406" s="2">
        <v>0.05</v>
      </c>
      <c r="O406">
        <v>210.95</v>
      </c>
      <c r="P406">
        <v>10.547499999999999</v>
      </c>
      <c r="Q406">
        <f>Sheet1__3_1_1_1[[#This Row],[Gross_Revenue]]-Sheet1__3_1_1_1[[#This Row],[Discount_Amount]]</f>
        <v>200.40249999999997</v>
      </c>
      <c r="R406">
        <v>84.17</v>
      </c>
      <c r="S406">
        <f>Sheet1__3_1_1_1[[#This Row],[Net_Revenue]]-Sheet1__3_1_1_1[[#This Row],[COGS]]</f>
        <v>116.23249999999997</v>
      </c>
    </row>
    <row r="407" spans="1:19" x14ac:dyDescent="0.25">
      <c r="A407" t="s">
        <v>502</v>
      </c>
      <c r="B407" s="1">
        <v>44932</v>
      </c>
      <c r="C407" t="s">
        <v>44</v>
      </c>
      <c r="D407" t="s">
        <v>51</v>
      </c>
      <c r="E407" t="s">
        <v>39</v>
      </c>
      <c r="F407" t="s">
        <v>22</v>
      </c>
      <c r="G407" t="s">
        <v>46</v>
      </c>
      <c r="H407" t="s">
        <v>59</v>
      </c>
      <c r="I407" t="s">
        <v>42</v>
      </c>
      <c r="J407" t="s">
        <v>35</v>
      </c>
      <c r="K407" t="s">
        <v>27</v>
      </c>
      <c r="L407">
        <v>15.93</v>
      </c>
      <c r="M407">
        <v>4</v>
      </c>
      <c r="N407" s="2">
        <v>0</v>
      </c>
      <c r="O407">
        <v>63.72</v>
      </c>
      <c r="P407">
        <v>0</v>
      </c>
      <c r="Q407">
        <f>Sheet1__3_1_1_1[[#This Row],[Gross_Revenue]]-Sheet1__3_1_1_1[[#This Row],[Discount_Amount]]</f>
        <v>63.72</v>
      </c>
      <c r="R407">
        <v>35.049999999999997</v>
      </c>
      <c r="S407">
        <f>Sheet1__3_1_1_1[[#This Row],[Net_Revenue]]-Sheet1__3_1_1_1[[#This Row],[COGS]]</f>
        <v>28.67</v>
      </c>
    </row>
    <row r="408" spans="1:19" x14ac:dyDescent="0.25">
      <c r="A408" t="s">
        <v>503</v>
      </c>
      <c r="B408" s="1">
        <v>45014</v>
      </c>
      <c r="C408" t="s">
        <v>19</v>
      </c>
      <c r="D408" t="s">
        <v>130</v>
      </c>
      <c r="E408" t="s">
        <v>66</v>
      </c>
      <c r="F408" t="s">
        <v>55</v>
      </c>
      <c r="G408" t="s">
        <v>120</v>
      </c>
      <c r="H408" t="s">
        <v>57</v>
      </c>
      <c r="I408" t="s">
        <v>42</v>
      </c>
      <c r="J408" t="s">
        <v>49</v>
      </c>
      <c r="K408" t="s">
        <v>36</v>
      </c>
      <c r="L408" t="s">
        <v>1147</v>
      </c>
      <c r="M408">
        <v>8</v>
      </c>
      <c r="N408" s="2">
        <v>0.1</v>
      </c>
      <c r="O408">
        <v>0</v>
      </c>
      <c r="P408">
        <v>0</v>
      </c>
      <c r="Q408">
        <f>Sheet1__3_1_1_1[[#This Row],[Gross_Revenue]]-Sheet1__3_1_1_1[[#This Row],[Discount_Amount]]</f>
        <v>0</v>
      </c>
      <c r="R408" t="s">
        <v>1147</v>
      </c>
      <c r="S408" t="e">
        <f>Sheet1__3_1_1_1[[#This Row],[Net_Revenue]]-Sheet1__3_1_1_1[[#This Row],[COGS]]</f>
        <v>#VALUE!</v>
      </c>
    </row>
    <row r="409" spans="1:19" x14ac:dyDescent="0.25">
      <c r="A409" t="s">
        <v>504</v>
      </c>
      <c r="B409" s="1">
        <v>44742</v>
      </c>
      <c r="C409" t="s">
        <v>19</v>
      </c>
      <c r="D409" t="s">
        <v>130</v>
      </c>
      <c r="E409" t="s">
        <v>39</v>
      </c>
      <c r="F409" t="s">
        <v>79</v>
      </c>
      <c r="G409" t="s">
        <v>172</v>
      </c>
      <c r="H409" t="s">
        <v>24</v>
      </c>
      <c r="I409" t="s">
        <v>48</v>
      </c>
      <c r="J409" t="s">
        <v>94</v>
      </c>
      <c r="K409" t="s">
        <v>36</v>
      </c>
      <c r="L409">
        <v>387.8</v>
      </c>
      <c r="M409">
        <v>1</v>
      </c>
      <c r="N409" s="2">
        <v>0</v>
      </c>
      <c r="O409">
        <v>387.8</v>
      </c>
      <c r="P409">
        <v>0</v>
      </c>
      <c r="Q409">
        <f>Sheet1__3_1_1_1[[#This Row],[Gross_Revenue]]-Sheet1__3_1_1_1[[#This Row],[Discount_Amount]]</f>
        <v>387.8</v>
      </c>
      <c r="R409">
        <v>240.44</v>
      </c>
      <c r="S409">
        <f>Sheet1__3_1_1_1[[#This Row],[Net_Revenue]]-Sheet1__3_1_1_1[[#This Row],[COGS]]</f>
        <v>147.36000000000001</v>
      </c>
    </row>
    <row r="410" spans="1:19" x14ac:dyDescent="0.25">
      <c r="A410" t="s">
        <v>505</v>
      </c>
      <c r="B410" s="1">
        <v>45285</v>
      </c>
      <c r="C410" t="s">
        <v>19</v>
      </c>
      <c r="D410" t="s">
        <v>91</v>
      </c>
      <c r="E410" t="s">
        <v>63</v>
      </c>
      <c r="F410" t="s">
        <v>55</v>
      </c>
      <c r="G410" t="s">
        <v>83</v>
      </c>
      <c r="H410" t="s">
        <v>87</v>
      </c>
      <c r="I410" t="s">
        <v>48</v>
      </c>
      <c r="J410" t="s">
        <v>26</v>
      </c>
      <c r="K410" t="s">
        <v>36</v>
      </c>
      <c r="L410">
        <v>67.63</v>
      </c>
      <c r="M410">
        <v>1</v>
      </c>
      <c r="N410" s="2">
        <v>0</v>
      </c>
      <c r="O410">
        <v>67.63</v>
      </c>
      <c r="P410">
        <v>0</v>
      </c>
      <c r="Q410">
        <f>Sheet1__3_1_1_1[[#This Row],[Gross_Revenue]]-Sheet1__3_1_1_1[[#This Row],[Discount_Amount]]</f>
        <v>67.63</v>
      </c>
      <c r="R410">
        <v>28.4</v>
      </c>
      <c r="S410">
        <f>Sheet1__3_1_1_1[[#This Row],[Net_Revenue]]-Sheet1__3_1_1_1[[#This Row],[COGS]]</f>
        <v>39.229999999999997</v>
      </c>
    </row>
    <row r="411" spans="1:19" x14ac:dyDescent="0.25">
      <c r="A411" t="s">
        <v>506</v>
      </c>
      <c r="B411" s="1">
        <v>44888</v>
      </c>
      <c r="C411" t="s">
        <v>77</v>
      </c>
      <c r="D411" t="s">
        <v>78</v>
      </c>
      <c r="E411" t="s">
        <v>63</v>
      </c>
      <c r="F411" t="s">
        <v>69</v>
      </c>
      <c r="G411" t="s">
        <v>70</v>
      </c>
      <c r="H411" t="s">
        <v>87</v>
      </c>
      <c r="I411" t="s">
        <v>42</v>
      </c>
      <c r="J411" t="s">
        <v>35</v>
      </c>
      <c r="K411" t="s">
        <v>36</v>
      </c>
      <c r="L411">
        <v>288.83999999999997</v>
      </c>
      <c r="M411">
        <v>1</v>
      </c>
      <c r="N411" s="2">
        <v>0.2</v>
      </c>
      <c r="O411">
        <v>288.83999999999997</v>
      </c>
      <c r="P411">
        <v>57.768000000000001</v>
      </c>
      <c r="Q411">
        <f>Sheet1__3_1_1_1[[#This Row],[Gross_Revenue]]-Sheet1__3_1_1_1[[#This Row],[Discount_Amount]]</f>
        <v>231.07199999999997</v>
      </c>
      <c r="R411">
        <v>87.81</v>
      </c>
      <c r="S411">
        <f>Sheet1__3_1_1_1[[#This Row],[Net_Revenue]]-Sheet1__3_1_1_1[[#This Row],[COGS]]</f>
        <v>143.26199999999997</v>
      </c>
    </row>
    <row r="412" spans="1:19" x14ac:dyDescent="0.25">
      <c r="A412" t="s">
        <v>507</v>
      </c>
      <c r="B412" s="1">
        <v>44848</v>
      </c>
      <c r="C412" t="s">
        <v>29</v>
      </c>
      <c r="D412" t="s">
        <v>38</v>
      </c>
      <c r="E412" t="s">
        <v>63</v>
      </c>
      <c r="F412" t="s">
        <v>31</v>
      </c>
      <c r="G412" t="s">
        <v>122</v>
      </c>
      <c r="H412" t="s">
        <v>59</v>
      </c>
      <c r="I412" t="s">
        <v>42</v>
      </c>
      <c r="J412" t="s">
        <v>89</v>
      </c>
      <c r="K412" t="s">
        <v>36</v>
      </c>
      <c r="L412">
        <v>449.53</v>
      </c>
      <c r="M412">
        <v>3</v>
      </c>
      <c r="N412" s="2">
        <v>0</v>
      </c>
      <c r="O412">
        <v>1348.59</v>
      </c>
      <c r="P412">
        <v>0</v>
      </c>
      <c r="Q412">
        <f>Sheet1__3_1_1_1[[#This Row],[Gross_Revenue]]-Sheet1__3_1_1_1[[#This Row],[Discount_Amount]]</f>
        <v>1348.59</v>
      </c>
      <c r="R412">
        <v>647.32000000000005</v>
      </c>
      <c r="S412">
        <f>Sheet1__3_1_1_1[[#This Row],[Net_Revenue]]-Sheet1__3_1_1_1[[#This Row],[COGS]]</f>
        <v>701.26999999999987</v>
      </c>
    </row>
    <row r="413" spans="1:19" x14ac:dyDescent="0.25">
      <c r="A413" t="s">
        <v>508</v>
      </c>
      <c r="B413" s="1">
        <v>44702</v>
      </c>
      <c r="C413" t="s">
        <v>77</v>
      </c>
      <c r="D413" t="s">
        <v>78</v>
      </c>
      <c r="E413" t="s">
        <v>39</v>
      </c>
      <c r="F413" t="s">
        <v>22</v>
      </c>
      <c r="G413" t="s">
        <v>113</v>
      </c>
      <c r="H413" t="s">
        <v>33</v>
      </c>
      <c r="I413" t="s">
        <v>60</v>
      </c>
      <c r="J413" t="s">
        <v>94</v>
      </c>
      <c r="K413" t="s">
        <v>27</v>
      </c>
      <c r="L413">
        <v>12.85</v>
      </c>
      <c r="M413">
        <v>15</v>
      </c>
      <c r="N413" s="2">
        <v>0.05</v>
      </c>
      <c r="O413">
        <v>192.75</v>
      </c>
      <c r="P413">
        <v>9.6375000000000011</v>
      </c>
      <c r="Q413">
        <f>Sheet1__3_1_1_1[[#This Row],[Gross_Revenue]]-Sheet1__3_1_1_1[[#This Row],[Discount_Amount]]</f>
        <v>183.11250000000001</v>
      </c>
      <c r="R413">
        <v>100.71</v>
      </c>
      <c r="S413">
        <f>Sheet1__3_1_1_1[[#This Row],[Net_Revenue]]-Sheet1__3_1_1_1[[#This Row],[COGS]]</f>
        <v>82.402500000000018</v>
      </c>
    </row>
    <row r="414" spans="1:19" x14ac:dyDescent="0.25">
      <c r="A414" t="s">
        <v>509</v>
      </c>
      <c r="B414" s="1">
        <v>45214</v>
      </c>
      <c r="C414" t="s">
        <v>99</v>
      </c>
      <c r="D414" t="s">
        <v>132</v>
      </c>
      <c r="E414" t="s">
        <v>21</v>
      </c>
      <c r="F414" t="s">
        <v>31</v>
      </c>
      <c r="G414" t="s">
        <v>93</v>
      </c>
      <c r="H414" t="s">
        <v>71</v>
      </c>
      <c r="I414" t="s">
        <v>34</v>
      </c>
      <c r="J414" t="s">
        <v>26</v>
      </c>
      <c r="K414" t="s">
        <v>36</v>
      </c>
      <c r="L414">
        <v>161.94999999999999</v>
      </c>
      <c r="M414">
        <v>2</v>
      </c>
      <c r="N414" s="2">
        <v>0.15</v>
      </c>
      <c r="O414">
        <v>323.89999999999998</v>
      </c>
      <c r="P414">
        <v>48.584999999999994</v>
      </c>
      <c r="Q414">
        <f>Sheet1__3_1_1_1[[#This Row],[Gross_Revenue]]-Sheet1__3_1_1_1[[#This Row],[Discount_Amount]]</f>
        <v>275.315</v>
      </c>
      <c r="R414">
        <v>132.15</v>
      </c>
      <c r="S414">
        <f>Sheet1__3_1_1_1[[#This Row],[Net_Revenue]]-Sheet1__3_1_1_1[[#This Row],[COGS]]</f>
        <v>143.16499999999999</v>
      </c>
    </row>
    <row r="415" spans="1:19" x14ac:dyDescent="0.25">
      <c r="A415" t="s">
        <v>510</v>
      </c>
      <c r="B415" s="1">
        <v>45279</v>
      </c>
      <c r="C415" t="s">
        <v>44</v>
      </c>
      <c r="D415" t="s">
        <v>45</v>
      </c>
      <c r="E415" t="s">
        <v>63</v>
      </c>
      <c r="F415" t="s">
        <v>31</v>
      </c>
      <c r="G415" t="s">
        <v>93</v>
      </c>
      <c r="H415" t="s">
        <v>111</v>
      </c>
      <c r="I415" t="s">
        <v>60</v>
      </c>
      <c r="J415" t="s">
        <v>49</v>
      </c>
      <c r="K415" t="s">
        <v>27</v>
      </c>
      <c r="L415">
        <v>129.41</v>
      </c>
      <c r="M415">
        <v>2</v>
      </c>
      <c r="N415" s="2">
        <v>0</v>
      </c>
      <c r="O415">
        <v>258.82</v>
      </c>
      <c r="P415">
        <v>0</v>
      </c>
      <c r="Q415">
        <f>Sheet1__3_1_1_1[[#This Row],[Gross_Revenue]]-Sheet1__3_1_1_1[[#This Row],[Discount_Amount]]</f>
        <v>258.82</v>
      </c>
      <c r="R415">
        <v>124.23</v>
      </c>
      <c r="S415">
        <f>Sheet1__3_1_1_1[[#This Row],[Net_Revenue]]-Sheet1__3_1_1_1[[#This Row],[COGS]]</f>
        <v>134.58999999999997</v>
      </c>
    </row>
    <row r="416" spans="1:19" x14ac:dyDescent="0.25">
      <c r="A416" t="s">
        <v>511</v>
      </c>
      <c r="B416" s="1">
        <v>45016</v>
      </c>
      <c r="C416" t="s">
        <v>44</v>
      </c>
      <c r="D416" t="s">
        <v>51</v>
      </c>
      <c r="E416" t="s">
        <v>39</v>
      </c>
      <c r="F416" t="s">
        <v>79</v>
      </c>
      <c r="G416" t="s">
        <v>96</v>
      </c>
      <c r="H416" t="s">
        <v>106</v>
      </c>
      <c r="I416" t="s">
        <v>60</v>
      </c>
      <c r="J416" t="s">
        <v>35</v>
      </c>
      <c r="K416" t="s">
        <v>53</v>
      </c>
      <c r="L416">
        <v>358.32</v>
      </c>
      <c r="M416">
        <v>8</v>
      </c>
      <c r="N416" s="2">
        <v>0</v>
      </c>
      <c r="O416">
        <v>2866.56</v>
      </c>
      <c r="P416">
        <v>0</v>
      </c>
      <c r="Q416">
        <f>Sheet1__3_1_1_1[[#This Row],[Gross_Revenue]]-Sheet1__3_1_1_1[[#This Row],[Discount_Amount]]</f>
        <v>2866.56</v>
      </c>
      <c r="R416">
        <v>1777.27</v>
      </c>
      <c r="S416">
        <f>Sheet1__3_1_1_1[[#This Row],[Net_Revenue]]-Sheet1__3_1_1_1[[#This Row],[COGS]]</f>
        <v>1089.29</v>
      </c>
    </row>
    <row r="417" spans="1:19" x14ac:dyDescent="0.25">
      <c r="A417" t="s">
        <v>512</v>
      </c>
      <c r="B417" s="1">
        <v>44785</v>
      </c>
      <c r="C417" t="s">
        <v>77</v>
      </c>
      <c r="D417" t="s">
        <v>82</v>
      </c>
      <c r="E417" t="s">
        <v>63</v>
      </c>
      <c r="F417" t="s">
        <v>22</v>
      </c>
      <c r="G417" t="s">
        <v>149</v>
      </c>
      <c r="H417" t="s">
        <v>71</v>
      </c>
      <c r="I417" t="s">
        <v>48</v>
      </c>
      <c r="J417" t="s">
        <v>89</v>
      </c>
      <c r="K417" t="s">
        <v>36</v>
      </c>
      <c r="L417">
        <v>22.58</v>
      </c>
      <c r="M417">
        <v>9</v>
      </c>
      <c r="N417" s="2">
        <v>0.2</v>
      </c>
      <c r="O417">
        <v>203.21999999999997</v>
      </c>
      <c r="P417">
        <v>40.643999999999998</v>
      </c>
      <c r="Q417">
        <f>Sheet1__3_1_1_1[[#This Row],[Gross_Revenue]]-Sheet1__3_1_1_1[[#This Row],[Discount_Amount]]</f>
        <v>162.57599999999996</v>
      </c>
      <c r="R417">
        <v>89.42</v>
      </c>
      <c r="S417">
        <f>Sheet1__3_1_1_1[[#This Row],[Net_Revenue]]-Sheet1__3_1_1_1[[#This Row],[COGS]]</f>
        <v>73.155999999999963</v>
      </c>
    </row>
    <row r="418" spans="1:19" x14ac:dyDescent="0.25">
      <c r="A418" t="s">
        <v>513</v>
      </c>
      <c r="B418" s="1">
        <v>45268</v>
      </c>
      <c r="C418" t="s">
        <v>99</v>
      </c>
      <c r="D418" t="s">
        <v>132</v>
      </c>
      <c r="E418" t="s">
        <v>21</v>
      </c>
      <c r="F418" t="s">
        <v>79</v>
      </c>
      <c r="G418" t="s">
        <v>85</v>
      </c>
      <c r="H418" t="s">
        <v>57</v>
      </c>
      <c r="I418" t="s">
        <v>25</v>
      </c>
      <c r="J418" t="s">
        <v>49</v>
      </c>
      <c r="K418" t="s">
        <v>36</v>
      </c>
      <c r="L418">
        <v>779.4</v>
      </c>
      <c r="M418">
        <v>5</v>
      </c>
      <c r="N418" s="2">
        <v>0.15</v>
      </c>
      <c r="O418">
        <v>3897</v>
      </c>
      <c r="P418">
        <v>584.54999999999995</v>
      </c>
      <c r="Q418">
        <f>Sheet1__3_1_1_1[[#This Row],[Gross_Revenue]]-Sheet1__3_1_1_1[[#This Row],[Discount_Amount]]</f>
        <v>3312.45</v>
      </c>
      <c r="R418">
        <v>2053.7199999999998</v>
      </c>
      <c r="S418">
        <f>Sheet1__3_1_1_1[[#This Row],[Net_Revenue]]-Sheet1__3_1_1_1[[#This Row],[COGS]]</f>
        <v>1258.73</v>
      </c>
    </row>
    <row r="419" spans="1:19" x14ac:dyDescent="0.25">
      <c r="A419" t="s">
        <v>514</v>
      </c>
      <c r="B419" s="1">
        <v>44969</v>
      </c>
      <c r="C419" t="s">
        <v>44</v>
      </c>
      <c r="D419" t="s">
        <v>65</v>
      </c>
      <c r="E419" t="s">
        <v>63</v>
      </c>
      <c r="F419" t="s">
        <v>69</v>
      </c>
      <c r="G419" t="s">
        <v>70</v>
      </c>
      <c r="H419" t="s">
        <v>87</v>
      </c>
      <c r="I419" t="s">
        <v>42</v>
      </c>
      <c r="J419" t="s">
        <v>35</v>
      </c>
      <c r="K419" t="s">
        <v>143</v>
      </c>
      <c r="L419">
        <v>314.41000000000003</v>
      </c>
      <c r="M419">
        <v>29</v>
      </c>
      <c r="N419" s="2">
        <v>0.15</v>
      </c>
      <c r="O419">
        <v>9117.8900000000012</v>
      </c>
      <c r="P419">
        <v>1367.6835000000001</v>
      </c>
      <c r="Q419">
        <f>Sheet1__3_1_1_1[[#This Row],[Gross_Revenue]]-Sheet1__3_1_1_1[[#This Row],[Discount_Amount]]</f>
        <v>7750.2065000000011</v>
      </c>
      <c r="R419">
        <v>2945.08</v>
      </c>
      <c r="S419">
        <f>Sheet1__3_1_1_1[[#This Row],[Net_Revenue]]-Sheet1__3_1_1_1[[#This Row],[COGS]]</f>
        <v>4805.1265000000012</v>
      </c>
    </row>
    <row r="420" spans="1:19" x14ac:dyDescent="0.25">
      <c r="A420" t="s">
        <v>515</v>
      </c>
      <c r="B420" s="1">
        <v>44605</v>
      </c>
      <c r="C420" t="s">
        <v>19</v>
      </c>
      <c r="D420" t="s">
        <v>91</v>
      </c>
      <c r="E420" t="s">
        <v>66</v>
      </c>
      <c r="F420" t="s">
        <v>55</v>
      </c>
      <c r="G420" t="s">
        <v>103</v>
      </c>
      <c r="H420" t="s">
        <v>71</v>
      </c>
      <c r="I420" t="s">
        <v>34</v>
      </c>
      <c r="J420" t="s">
        <v>35</v>
      </c>
      <c r="K420" t="s">
        <v>36</v>
      </c>
      <c r="L420">
        <v>158.33000000000001</v>
      </c>
      <c r="M420">
        <v>7</v>
      </c>
      <c r="N420" s="2">
        <v>0.1</v>
      </c>
      <c r="O420">
        <v>1108.3100000000002</v>
      </c>
      <c r="P420">
        <v>110.83100000000002</v>
      </c>
      <c r="Q420">
        <f>Sheet1__3_1_1_1[[#This Row],[Gross_Revenue]]-Sheet1__3_1_1_1[[#This Row],[Discount_Amount]]</f>
        <v>997.47900000000016</v>
      </c>
      <c r="R420">
        <v>418.94</v>
      </c>
      <c r="S420">
        <f>Sheet1__3_1_1_1[[#This Row],[Net_Revenue]]-Sheet1__3_1_1_1[[#This Row],[COGS]]</f>
        <v>578.53900000000021</v>
      </c>
    </row>
    <row r="421" spans="1:19" x14ac:dyDescent="0.25">
      <c r="A421" t="s">
        <v>516</v>
      </c>
      <c r="B421" s="1">
        <v>45190</v>
      </c>
      <c r="C421" t="s">
        <v>99</v>
      </c>
      <c r="D421" t="s">
        <v>148</v>
      </c>
      <c r="E421" t="s">
        <v>66</v>
      </c>
      <c r="F421" t="s">
        <v>55</v>
      </c>
      <c r="G421" t="s">
        <v>83</v>
      </c>
      <c r="H421" t="s">
        <v>111</v>
      </c>
      <c r="I421" t="s">
        <v>48</v>
      </c>
      <c r="J421" t="s">
        <v>26</v>
      </c>
      <c r="K421" t="s">
        <v>53</v>
      </c>
      <c r="L421">
        <v>61</v>
      </c>
      <c r="M421">
        <v>3</v>
      </c>
      <c r="N421" s="2">
        <v>0.05</v>
      </c>
      <c r="O421">
        <v>183</v>
      </c>
      <c r="P421">
        <v>9.15</v>
      </c>
      <c r="Q421">
        <f>Sheet1__3_1_1_1[[#This Row],[Gross_Revenue]]-Sheet1__3_1_1_1[[#This Row],[Discount_Amount]]</f>
        <v>173.85</v>
      </c>
      <c r="R421">
        <v>73.02</v>
      </c>
      <c r="S421">
        <f>Sheet1__3_1_1_1[[#This Row],[Net_Revenue]]-Sheet1__3_1_1_1[[#This Row],[COGS]]</f>
        <v>100.83</v>
      </c>
    </row>
    <row r="422" spans="1:19" x14ac:dyDescent="0.25">
      <c r="A422" t="s">
        <v>517</v>
      </c>
      <c r="B422" s="1">
        <v>44670</v>
      </c>
      <c r="C422" t="s">
        <v>19</v>
      </c>
      <c r="D422" t="s">
        <v>20</v>
      </c>
      <c r="E422" t="s">
        <v>63</v>
      </c>
      <c r="F422" t="s">
        <v>22</v>
      </c>
      <c r="G422" t="s">
        <v>75</v>
      </c>
      <c r="H422" t="s">
        <v>59</v>
      </c>
      <c r="I422" t="s">
        <v>60</v>
      </c>
      <c r="J422" t="s">
        <v>26</v>
      </c>
      <c r="K422" t="s">
        <v>36</v>
      </c>
      <c r="L422">
        <v>10.9</v>
      </c>
      <c r="M422">
        <v>16</v>
      </c>
      <c r="N422" s="2">
        <v>0</v>
      </c>
      <c r="O422">
        <v>174.4</v>
      </c>
      <c r="P422">
        <v>0</v>
      </c>
      <c r="Q422">
        <f>Sheet1__3_1_1_1[[#This Row],[Gross_Revenue]]-Sheet1__3_1_1_1[[#This Row],[Discount_Amount]]</f>
        <v>174.4</v>
      </c>
      <c r="R422">
        <v>95.92</v>
      </c>
      <c r="S422">
        <f>Sheet1__3_1_1_1[[#This Row],[Net_Revenue]]-Sheet1__3_1_1_1[[#This Row],[COGS]]</f>
        <v>78.48</v>
      </c>
    </row>
    <row r="423" spans="1:19" x14ac:dyDescent="0.25">
      <c r="A423" t="s">
        <v>518</v>
      </c>
      <c r="B423" s="1">
        <v>44786</v>
      </c>
      <c r="C423" t="s">
        <v>77</v>
      </c>
      <c r="D423" t="s">
        <v>110</v>
      </c>
      <c r="E423" t="s">
        <v>66</v>
      </c>
      <c r="F423" t="s">
        <v>31</v>
      </c>
      <c r="G423" t="s">
        <v>122</v>
      </c>
      <c r="H423" t="s">
        <v>57</v>
      </c>
      <c r="I423" t="s">
        <v>48</v>
      </c>
      <c r="J423" t="s">
        <v>89</v>
      </c>
      <c r="K423" t="s">
        <v>36</v>
      </c>
      <c r="L423">
        <v>512.85</v>
      </c>
      <c r="M423">
        <v>6</v>
      </c>
      <c r="N423" s="2">
        <v>0.05</v>
      </c>
      <c r="O423">
        <v>3077.1000000000004</v>
      </c>
      <c r="P423">
        <v>153.85500000000002</v>
      </c>
      <c r="Q423">
        <f>Sheet1__3_1_1_1[[#This Row],[Gross_Revenue]]-Sheet1__3_1_1_1[[#This Row],[Discount_Amount]]</f>
        <v>2923.2450000000003</v>
      </c>
      <c r="R423">
        <v>1403.16</v>
      </c>
      <c r="S423">
        <f>Sheet1__3_1_1_1[[#This Row],[Net_Revenue]]-Sheet1__3_1_1_1[[#This Row],[COGS]]</f>
        <v>1520.0850000000003</v>
      </c>
    </row>
    <row r="424" spans="1:19" x14ac:dyDescent="0.25">
      <c r="A424" t="s">
        <v>519</v>
      </c>
      <c r="B424" s="1">
        <v>44701</v>
      </c>
      <c r="C424" t="s">
        <v>77</v>
      </c>
      <c r="D424" t="s">
        <v>110</v>
      </c>
      <c r="E424" t="s">
        <v>63</v>
      </c>
      <c r="F424" t="s">
        <v>31</v>
      </c>
      <c r="G424" t="s">
        <v>93</v>
      </c>
      <c r="H424" t="s">
        <v>71</v>
      </c>
      <c r="I424" t="s">
        <v>60</v>
      </c>
      <c r="J424" t="s">
        <v>26</v>
      </c>
      <c r="K424" t="s">
        <v>36</v>
      </c>
      <c r="L424">
        <v>157.76</v>
      </c>
      <c r="M424">
        <v>1</v>
      </c>
      <c r="N424" s="2">
        <v>0</v>
      </c>
      <c r="O424">
        <v>157.76</v>
      </c>
      <c r="P424">
        <v>0</v>
      </c>
      <c r="Q424">
        <f>Sheet1__3_1_1_1[[#This Row],[Gross_Revenue]]-Sheet1__3_1_1_1[[#This Row],[Discount_Amount]]</f>
        <v>157.76</v>
      </c>
      <c r="R424">
        <v>75.72</v>
      </c>
      <c r="S424">
        <f>Sheet1__3_1_1_1[[#This Row],[Net_Revenue]]-Sheet1__3_1_1_1[[#This Row],[COGS]]</f>
        <v>82.039999999999992</v>
      </c>
    </row>
    <row r="425" spans="1:19" x14ac:dyDescent="0.25">
      <c r="A425" t="s">
        <v>520</v>
      </c>
      <c r="B425" s="1">
        <v>44962</v>
      </c>
      <c r="C425" t="s">
        <v>29</v>
      </c>
      <c r="D425" t="s">
        <v>30</v>
      </c>
      <c r="E425" t="s">
        <v>39</v>
      </c>
      <c r="F425" t="s">
        <v>79</v>
      </c>
      <c r="G425" t="s">
        <v>56</v>
      </c>
      <c r="H425" t="s">
        <v>24</v>
      </c>
      <c r="I425" t="s">
        <v>25</v>
      </c>
      <c r="J425" t="s">
        <v>49</v>
      </c>
      <c r="K425" t="s">
        <v>36</v>
      </c>
      <c r="L425">
        <v>45</v>
      </c>
      <c r="M425">
        <v>6</v>
      </c>
      <c r="N425" s="2">
        <v>0.15</v>
      </c>
      <c r="O425">
        <v>270</v>
      </c>
      <c r="P425">
        <v>40.5</v>
      </c>
      <c r="Q425">
        <f>Sheet1__3_1_1_1[[#This Row],[Gross_Revenue]]-Sheet1__3_1_1_1[[#This Row],[Discount_Amount]]</f>
        <v>229.5</v>
      </c>
      <c r="R425">
        <v>142.29</v>
      </c>
      <c r="S425">
        <f>Sheet1__3_1_1_1[[#This Row],[Net_Revenue]]-Sheet1__3_1_1_1[[#This Row],[COGS]]</f>
        <v>87.210000000000008</v>
      </c>
    </row>
    <row r="426" spans="1:19" x14ac:dyDescent="0.25">
      <c r="A426" t="s">
        <v>521</v>
      </c>
      <c r="B426" s="1">
        <v>44900</v>
      </c>
      <c r="C426" t="s">
        <v>29</v>
      </c>
      <c r="D426" t="s">
        <v>30</v>
      </c>
      <c r="E426" t="s">
        <v>39</v>
      </c>
      <c r="F426" t="s">
        <v>55</v>
      </c>
      <c r="G426" t="s">
        <v>103</v>
      </c>
      <c r="H426" t="s">
        <v>59</v>
      </c>
      <c r="I426" t="s">
        <v>48</v>
      </c>
      <c r="J426" t="s">
        <v>35</v>
      </c>
      <c r="K426" t="s">
        <v>143</v>
      </c>
      <c r="L426">
        <v>137.44</v>
      </c>
      <c r="M426">
        <v>1</v>
      </c>
      <c r="N426" s="2">
        <v>0</v>
      </c>
      <c r="O426">
        <v>137.44</v>
      </c>
      <c r="P426">
        <v>0</v>
      </c>
      <c r="Q426">
        <f>Sheet1__3_1_1_1[[#This Row],[Gross_Revenue]]-Sheet1__3_1_1_1[[#This Row],[Discount_Amount]]</f>
        <v>137.44</v>
      </c>
      <c r="R426">
        <v>57.72</v>
      </c>
      <c r="S426">
        <f>Sheet1__3_1_1_1[[#This Row],[Net_Revenue]]-Sheet1__3_1_1_1[[#This Row],[COGS]]</f>
        <v>79.72</v>
      </c>
    </row>
    <row r="427" spans="1:19" x14ac:dyDescent="0.25">
      <c r="A427" t="s">
        <v>522</v>
      </c>
      <c r="B427" s="1">
        <v>45094</v>
      </c>
      <c r="C427" t="s">
        <v>29</v>
      </c>
      <c r="D427" t="s">
        <v>62</v>
      </c>
      <c r="E427" t="s">
        <v>21</v>
      </c>
      <c r="F427" t="s">
        <v>79</v>
      </c>
      <c r="G427" t="s">
        <v>96</v>
      </c>
      <c r="H427" t="s">
        <v>47</v>
      </c>
      <c r="I427" t="s">
        <v>60</v>
      </c>
      <c r="J427" t="s">
        <v>35</v>
      </c>
      <c r="K427" t="s">
        <v>143</v>
      </c>
      <c r="L427">
        <v>418.27</v>
      </c>
      <c r="M427">
        <v>6</v>
      </c>
      <c r="N427" s="2">
        <v>0.15</v>
      </c>
      <c r="O427">
        <v>2509.62</v>
      </c>
      <c r="P427">
        <v>376.44299999999998</v>
      </c>
      <c r="Q427">
        <f>Sheet1__3_1_1_1[[#This Row],[Gross_Revenue]]-Sheet1__3_1_1_1[[#This Row],[Discount_Amount]]</f>
        <v>2133.1769999999997</v>
      </c>
      <c r="R427">
        <v>1322.57</v>
      </c>
      <c r="S427">
        <f>Sheet1__3_1_1_1[[#This Row],[Net_Revenue]]-Sheet1__3_1_1_1[[#This Row],[COGS]]</f>
        <v>810.60699999999974</v>
      </c>
    </row>
    <row r="428" spans="1:19" x14ac:dyDescent="0.25">
      <c r="A428" t="s">
        <v>523</v>
      </c>
      <c r="B428" s="1">
        <v>44959</v>
      </c>
      <c r="C428" t="s">
        <v>77</v>
      </c>
      <c r="D428" t="s">
        <v>110</v>
      </c>
      <c r="E428" t="s">
        <v>63</v>
      </c>
      <c r="F428" t="s">
        <v>22</v>
      </c>
      <c r="G428" t="s">
        <v>75</v>
      </c>
      <c r="H428" t="s">
        <v>71</v>
      </c>
      <c r="I428" t="s">
        <v>34</v>
      </c>
      <c r="J428" t="s">
        <v>26</v>
      </c>
      <c r="K428" t="s">
        <v>36</v>
      </c>
      <c r="L428">
        <v>8.5500000000000007</v>
      </c>
      <c r="M428">
        <v>30</v>
      </c>
      <c r="N428" s="2">
        <v>0</v>
      </c>
      <c r="O428">
        <v>256.5</v>
      </c>
      <c r="P428">
        <v>0</v>
      </c>
      <c r="Q428">
        <f>Sheet1__3_1_1_1[[#This Row],[Gross_Revenue]]-Sheet1__3_1_1_1[[#This Row],[Discount_Amount]]</f>
        <v>256.5</v>
      </c>
      <c r="R428">
        <v>141.08000000000001</v>
      </c>
      <c r="S428">
        <f>Sheet1__3_1_1_1[[#This Row],[Net_Revenue]]-Sheet1__3_1_1_1[[#This Row],[COGS]]</f>
        <v>115.41999999999999</v>
      </c>
    </row>
    <row r="429" spans="1:19" x14ac:dyDescent="0.25">
      <c r="A429" t="s">
        <v>524</v>
      </c>
      <c r="B429" s="1">
        <v>44665</v>
      </c>
      <c r="C429" t="s">
        <v>19</v>
      </c>
      <c r="D429" t="s">
        <v>20</v>
      </c>
      <c r="E429" t="s">
        <v>39</v>
      </c>
      <c r="F429" t="s">
        <v>69</v>
      </c>
      <c r="G429" t="s">
        <v>70</v>
      </c>
      <c r="H429" t="s">
        <v>71</v>
      </c>
      <c r="I429" t="s">
        <v>25</v>
      </c>
      <c r="J429" t="s">
        <v>94</v>
      </c>
      <c r="K429" t="s">
        <v>27</v>
      </c>
      <c r="L429">
        <v>276.8</v>
      </c>
      <c r="M429">
        <v>9</v>
      </c>
      <c r="N429" s="2">
        <v>0.05</v>
      </c>
      <c r="O429">
        <v>2491.2000000000003</v>
      </c>
      <c r="P429">
        <v>124.56000000000002</v>
      </c>
      <c r="Q429">
        <f>Sheet1__3_1_1_1[[#This Row],[Gross_Revenue]]-Sheet1__3_1_1_1[[#This Row],[Discount_Amount]]</f>
        <v>2366.6400000000003</v>
      </c>
      <c r="R429">
        <v>899.32</v>
      </c>
      <c r="S429">
        <f>Sheet1__3_1_1_1[[#This Row],[Net_Revenue]]-Sheet1__3_1_1_1[[#This Row],[COGS]]</f>
        <v>1467.3200000000002</v>
      </c>
    </row>
    <row r="430" spans="1:19" x14ac:dyDescent="0.25">
      <c r="A430" t="s">
        <v>525</v>
      </c>
      <c r="B430" s="1">
        <v>44852</v>
      </c>
      <c r="C430" t="s">
        <v>99</v>
      </c>
      <c r="D430" t="s">
        <v>132</v>
      </c>
      <c r="E430" t="s">
        <v>63</v>
      </c>
      <c r="F430" t="s">
        <v>55</v>
      </c>
      <c r="G430" t="s">
        <v>83</v>
      </c>
      <c r="H430" t="s">
        <v>24</v>
      </c>
      <c r="I430" t="s">
        <v>48</v>
      </c>
      <c r="J430" t="s">
        <v>26</v>
      </c>
      <c r="K430" t="s">
        <v>36</v>
      </c>
      <c r="L430">
        <v>55.94</v>
      </c>
      <c r="M430">
        <v>5</v>
      </c>
      <c r="N430" s="2">
        <v>0.1</v>
      </c>
      <c r="O430">
        <v>279.7</v>
      </c>
      <c r="P430">
        <v>27.97</v>
      </c>
      <c r="Q430">
        <f>Sheet1__3_1_1_1[[#This Row],[Gross_Revenue]]-Sheet1__3_1_1_1[[#This Row],[Discount_Amount]]</f>
        <v>251.73</v>
      </c>
      <c r="R430">
        <v>105.73</v>
      </c>
      <c r="S430">
        <f>Sheet1__3_1_1_1[[#This Row],[Net_Revenue]]-Sheet1__3_1_1_1[[#This Row],[COGS]]</f>
        <v>146</v>
      </c>
    </row>
    <row r="431" spans="1:19" x14ac:dyDescent="0.25">
      <c r="A431" t="s">
        <v>526</v>
      </c>
      <c r="B431" s="1">
        <v>44584</v>
      </c>
      <c r="C431" t="s">
        <v>77</v>
      </c>
      <c r="D431" t="s">
        <v>78</v>
      </c>
      <c r="E431" t="s">
        <v>21</v>
      </c>
      <c r="F431" t="s">
        <v>79</v>
      </c>
      <c r="G431" t="s">
        <v>80</v>
      </c>
      <c r="H431" t="s">
        <v>33</v>
      </c>
      <c r="I431" t="s">
        <v>34</v>
      </c>
      <c r="J431" t="s">
        <v>49</v>
      </c>
      <c r="K431" t="s">
        <v>53</v>
      </c>
      <c r="L431">
        <v>678.09</v>
      </c>
      <c r="M431">
        <v>1</v>
      </c>
      <c r="N431" s="2">
        <v>0</v>
      </c>
      <c r="O431">
        <v>678.09</v>
      </c>
      <c r="P431">
        <v>0</v>
      </c>
      <c r="Q431">
        <f>Sheet1__3_1_1_1[[#This Row],[Gross_Revenue]]-Sheet1__3_1_1_1[[#This Row],[Discount_Amount]]</f>
        <v>678.09</v>
      </c>
      <c r="R431">
        <v>420.42</v>
      </c>
      <c r="S431">
        <f>Sheet1__3_1_1_1[[#This Row],[Net_Revenue]]-Sheet1__3_1_1_1[[#This Row],[COGS]]</f>
        <v>257.67</v>
      </c>
    </row>
    <row r="432" spans="1:19" x14ac:dyDescent="0.25">
      <c r="A432" t="s">
        <v>527</v>
      </c>
      <c r="B432" s="1">
        <v>44708</v>
      </c>
      <c r="C432" t="s">
        <v>99</v>
      </c>
      <c r="D432" t="s">
        <v>148</v>
      </c>
      <c r="E432" t="s">
        <v>39</v>
      </c>
      <c r="F432" t="s">
        <v>79</v>
      </c>
      <c r="G432" t="s">
        <v>96</v>
      </c>
      <c r="H432" t="s">
        <v>24</v>
      </c>
      <c r="I432" t="s">
        <v>34</v>
      </c>
      <c r="J432" t="s">
        <v>35</v>
      </c>
      <c r="K432" t="s">
        <v>27</v>
      </c>
      <c r="L432">
        <v>408.06</v>
      </c>
      <c r="M432">
        <v>8</v>
      </c>
      <c r="N432" s="2">
        <v>0</v>
      </c>
      <c r="O432">
        <v>3264.48</v>
      </c>
      <c r="P432">
        <v>0</v>
      </c>
      <c r="Q432">
        <f>Sheet1__3_1_1_1[[#This Row],[Gross_Revenue]]-Sheet1__3_1_1_1[[#This Row],[Discount_Amount]]</f>
        <v>3264.48</v>
      </c>
      <c r="R432">
        <v>2023.98</v>
      </c>
      <c r="S432">
        <f>Sheet1__3_1_1_1[[#This Row],[Net_Revenue]]-Sheet1__3_1_1_1[[#This Row],[COGS]]</f>
        <v>1240.5</v>
      </c>
    </row>
    <row r="433" spans="1:19" x14ac:dyDescent="0.25">
      <c r="A433" t="s">
        <v>528</v>
      </c>
      <c r="B433" s="1">
        <v>45247</v>
      </c>
      <c r="C433" t="s">
        <v>77</v>
      </c>
      <c r="D433" t="s">
        <v>78</v>
      </c>
      <c r="E433" t="s">
        <v>21</v>
      </c>
      <c r="F433" t="s">
        <v>22</v>
      </c>
      <c r="G433" t="s">
        <v>46</v>
      </c>
      <c r="H433" t="s">
        <v>108</v>
      </c>
      <c r="I433" t="s">
        <v>42</v>
      </c>
      <c r="J433" t="s">
        <v>89</v>
      </c>
      <c r="K433" t="s">
        <v>27</v>
      </c>
      <c r="L433">
        <v>19.850000000000001</v>
      </c>
      <c r="M433">
        <v>11</v>
      </c>
      <c r="N433" s="2">
        <v>0.1</v>
      </c>
      <c r="O433">
        <v>218.35000000000002</v>
      </c>
      <c r="P433">
        <v>21.835000000000004</v>
      </c>
      <c r="Q433">
        <f>Sheet1__3_1_1_1[[#This Row],[Gross_Revenue]]-Sheet1__3_1_1_1[[#This Row],[Discount_Amount]]</f>
        <v>196.51500000000001</v>
      </c>
      <c r="R433">
        <v>108.08</v>
      </c>
      <c r="S433">
        <f>Sheet1__3_1_1_1[[#This Row],[Net_Revenue]]-Sheet1__3_1_1_1[[#This Row],[COGS]]</f>
        <v>88.435000000000016</v>
      </c>
    </row>
    <row r="434" spans="1:19" x14ac:dyDescent="0.25">
      <c r="A434" t="s">
        <v>529</v>
      </c>
      <c r="B434" s="1">
        <v>44740</v>
      </c>
      <c r="C434" t="s">
        <v>99</v>
      </c>
      <c r="D434" t="s">
        <v>100</v>
      </c>
      <c r="E434" t="s">
        <v>39</v>
      </c>
      <c r="F434" t="s">
        <v>79</v>
      </c>
      <c r="G434" t="s">
        <v>80</v>
      </c>
      <c r="H434" t="s">
        <v>24</v>
      </c>
      <c r="I434" t="s">
        <v>34</v>
      </c>
      <c r="J434" t="s">
        <v>35</v>
      </c>
      <c r="K434" t="s">
        <v>143</v>
      </c>
      <c r="L434">
        <v>649.16999999999996</v>
      </c>
      <c r="M434">
        <v>1</v>
      </c>
      <c r="N434" s="2">
        <v>0.1</v>
      </c>
      <c r="O434">
        <v>649.16999999999996</v>
      </c>
      <c r="P434">
        <v>64.917000000000002</v>
      </c>
      <c r="Q434">
        <f>Sheet1__3_1_1_1[[#This Row],[Gross_Revenue]]-Sheet1__3_1_1_1[[#This Row],[Discount_Amount]]</f>
        <v>584.25299999999993</v>
      </c>
      <c r="R434">
        <v>362.24</v>
      </c>
      <c r="S434">
        <f>Sheet1__3_1_1_1[[#This Row],[Net_Revenue]]-Sheet1__3_1_1_1[[#This Row],[COGS]]</f>
        <v>222.01299999999992</v>
      </c>
    </row>
    <row r="435" spans="1:19" x14ac:dyDescent="0.25">
      <c r="A435" t="s">
        <v>530</v>
      </c>
      <c r="B435" s="1">
        <v>45044</v>
      </c>
      <c r="C435" t="s">
        <v>99</v>
      </c>
      <c r="D435" t="s">
        <v>100</v>
      </c>
      <c r="E435" t="s">
        <v>66</v>
      </c>
      <c r="F435" t="s">
        <v>55</v>
      </c>
      <c r="G435" t="s">
        <v>120</v>
      </c>
      <c r="H435" t="s">
        <v>24</v>
      </c>
      <c r="I435" t="s">
        <v>48</v>
      </c>
      <c r="J435" t="s">
        <v>89</v>
      </c>
      <c r="K435" t="s">
        <v>53</v>
      </c>
      <c r="L435">
        <v>96.6</v>
      </c>
      <c r="M435">
        <v>6</v>
      </c>
      <c r="N435" s="2">
        <v>0</v>
      </c>
      <c r="O435">
        <v>579.59999999999991</v>
      </c>
      <c r="P435">
        <v>0</v>
      </c>
      <c r="Q435">
        <f>Sheet1__3_1_1_1[[#This Row],[Gross_Revenue]]-Sheet1__3_1_1_1[[#This Row],[Discount_Amount]]</f>
        <v>579.59999999999991</v>
      </c>
      <c r="R435">
        <v>243.43</v>
      </c>
      <c r="S435">
        <f>Sheet1__3_1_1_1[[#This Row],[Net_Revenue]]-Sheet1__3_1_1_1[[#This Row],[COGS]]</f>
        <v>336.1699999999999</v>
      </c>
    </row>
    <row r="436" spans="1:19" x14ac:dyDescent="0.25">
      <c r="A436" t="s">
        <v>531</v>
      </c>
      <c r="B436" s="1">
        <v>44786</v>
      </c>
      <c r="C436" t="s">
        <v>29</v>
      </c>
      <c r="D436" t="s">
        <v>38</v>
      </c>
      <c r="E436" t="s">
        <v>63</v>
      </c>
      <c r="F436" t="s">
        <v>79</v>
      </c>
      <c r="G436" t="s">
        <v>172</v>
      </c>
      <c r="H436" t="s">
        <v>71</v>
      </c>
      <c r="I436" t="s">
        <v>60</v>
      </c>
      <c r="J436" t="s">
        <v>49</v>
      </c>
      <c r="K436" t="s">
        <v>27</v>
      </c>
      <c r="L436">
        <v>336.06</v>
      </c>
      <c r="M436">
        <v>7</v>
      </c>
      <c r="N436" s="2">
        <v>0.05</v>
      </c>
      <c r="O436">
        <v>2352.42</v>
      </c>
      <c r="P436">
        <v>117.62100000000001</v>
      </c>
      <c r="Q436">
        <f>Sheet1__3_1_1_1[[#This Row],[Gross_Revenue]]-Sheet1__3_1_1_1[[#This Row],[Discount_Amount]]</f>
        <v>2234.799</v>
      </c>
      <c r="R436">
        <v>1385.58</v>
      </c>
      <c r="S436">
        <f>Sheet1__3_1_1_1[[#This Row],[Net_Revenue]]-Sheet1__3_1_1_1[[#This Row],[COGS]]</f>
        <v>849.21900000000005</v>
      </c>
    </row>
    <row r="437" spans="1:19" x14ac:dyDescent="0.25">
      <c r="A437" t="s">
        <v>532</v>
      </c>
      <c r="B437" s="1">
        <v>45265</v>
      </c>
      <c r="C437" t="s">
        <v>19</v>
      </c>
      <c r="D437" t="s">
        <v>20</v>
      </c>
      <c r="E437" t="s">
        <v>63</v>
      </c>
      <c r="F437" t="s">
        <v>55</v>
      </c>
      <c r="G437" t="s">
        <v>120</v>
      </c>
      <c r="H437" t="s">
        <v>111</v>
      </c>
      <c r="I437" t="s">
        <v>34</v>
      </c>
      <c r="J437" t="s">
        <v>94</v>
      </c>
      <c r="K437" t="s">
        <v>36</v>
      </c>
      <c r="L437">
        <v>93.66</v>
      </c>
      <c r="M437">
        <v>3</v>
      </c>
      <c r="N437" s="2">
        <v>0.15</v>
      </c>
      <c r="O437">
        <v>280.98</v>
      </c>
      <c r="P437">
        <v>42.146999999999998</v>
      </c>
      <c r="Q437">
        <f>Sheet1__3_1_1_1[[#This Row],[Gross_Revenue]]-Sheet1__3_1_1_1[[#This Row],[Discount_Amount]]</f>
        <v>238.83300000000003</v>
      </c>
      <c r="R437">
        <v>100.31</v>
      </c>
      <c r="S437">
        <f>Sheet1__3_1_1_1[[#This Row],[Net_Revenue]]-Sheet1__3_1_1_1[[#This Row],[COGS]]</f>
        <v>138.52300000000002</v>
      </c>
    </row>
    <row r="438" spans="1:19" x14ac:dyDescent="0.25">
      <c r="A438" t="s">
        <v>533</v>
      </c>
      <c r="B438" s="1">
        <v>44852</v>
      </c>
      <c r="C438" t="s">
        <v>77</v>
      </c>
      <c r="D438" t="s">
        <v>110</v>
      </c>
      <c r="E438" t="s">
        <v>21</v>
      </c>
      <c r="F438" t="s">
        <v>31</v>
      </c>
      <c r="G438" t="s">
        <v>32</v>
      </c>
      <c r="H438" t="s">
        <v>47</v>
      </c>
      <c r="I438" t="s">
        <v>60</v>
      </c>
      <c r="J438" t="s">
        <v>49</v>
      </c>
      <c r="K438" t="s">
        <v>36</v>
      </c>
      <c r="L438">
        <v>453.78</v>
      </c>
      <c r="M438">
        <v>6</v>
      </c>
      <c r="N438" s="2">
        <v>0.2</v>
      </c>
      <c r="O438">
        <v>2722.68</v>
      </c>
      <c r="P438">
        <v>544.53599999999994</v>
      </c>
      <c r="Q438">
        <f>Sheet1__3_1_1_1[[#This Row],[Gross_Revenue]]-Sheet1__3_1_1_1[[#This Row],[Discount_Amount]]</f>
        <v>2178.1439999999998</v>
      </c>
      <c r="R438">
        <v>1045.51</v>
      </c>
      <c r="S438">
        <f>Sheet1__3_1_1_1[[#This Row],[Net_Revenue]]-Sheet1__3_1_1_1[[#This Row],[COGS]]</f>
        <v>1132.6339999999998</v>
      </c>
    </row>
    <row r="439" spans="1:19" x14ac:dyDescent="0.25">
      <c r="A439" t="s">
        <v>534</v>
      </c>
      <c r="B439" s="1">
        <v>44767</v>
      </c>
      <c r="C439" t="s">
        <v>44</v>
      </c>
      <c r="D439" t="s">
        <v>45</v>
      </c>
      <c r="E439" t="s">
        <v>66</v>
      </c>
      <c r="F439" t="s">
        <v>31</v>
      </c>
      <c r="G439" t="s">
        <v>166</v>
      </c>
      <c r="H439" t="s">
        <v>24</v>
      </c>
      <c r="I439" t="s">
        <v>60</v>
      </c>
      <c r="J439" t="s">
        <v>89</v>
      </c>
      <c r="K439" t="s">
        <v>53</v>
      </c>
      <c r="L439">
        <v>317.72000000000003</v>
      </c>
      <c r="M439">
        <v>2</v>
      </c>
      <c r="N439" s="2">
        <v>0.05</v>
      </c>
      <c r="O439">
        <v>635.44000000000005</v>
      </c>
      <c r="P439">
        <v>31.772000000000006</v>
      </c>
      <c r="Q439">
        <f>Sheet1__3_1_1_1[[#This Row],[Gross_Revenue]]-Sheet1__3_1_1_1[[#This Row],[Discount_Amount]]</f>
        <v>603.66800000000001</v>
      </c>
      <c r="R439">
        <v>289.76</v>
      </c>
      <c r="S439">
        <f>Sheet1__3_1_1_1[[#This Row],[Net_Revenue]]-Sheet1__3_1_1_1[[#This Row],[COGS]]</f>
        <v>313.90800000000002</v>
      </c>
    </row>
    <row r="440" spans="1:19" x14ac:dyDescent="0.25">
      <c r="A440" t="s">
        <v>535</v>
      </c>
      <c r="B440" s="1">
        <v>44583</v>
      </c>
      <c r="C440" t="s">
        <v>44</v>
      </c>
      <c r="D440" t="s">
        <v>51</v>
      </c>
      <c r="E440" t="s">
        <v>66</v>
      </c>
      <c r="F440" t="s">
        <v>79</v>
      </c>
      <c r="G440" t="s">
        <v>56</v>
      </c>
      <c r="H440" t="s">
        <v>57</v>
      </c>
      <c r="I440" t="s">
        <v>60</v>
      </c>
      <c r="J440" t="s">
        <v>49</v>
      </c>
      <c r="K440" t="s">
        <v>53</v>
      </c>
      <c r="L440">
        <v>53.49</v>
      </c>
      <c r="M440">
        <v>4</v>
      </c>
      <c r="N440" s="2">
        <v>0.2</v>
      </c>
      <c r="O440">
        <v>213.96</v>
      </c>
      <c r="P440">
        <v>42.792000000000002</v>
      </c>
      <c r="Q440">
        <f>Sheet1__3_1_1_1[[#This Row],[Gross_Revenue]]-Sheet1__3_1_1_1[[#This Row],[Discount_Amount]]</f>
        <v>171.16800000000001</v>
      </c>
      <c r="R440">
        <v>106.13</v>
      </c>
      <c r="S440">
        <f>Sheet1__3_1_1_1[[#This Row],[Net_Revenue]]-Sheet1__3_1_1_1[[#This Row],[COGS]]</f>
        <v>65.038000000000011</v>
      </c>
    </row>
    <row r="441" spans="1:19" x14ac:dyDescent="0.25">
      <c r="A441" t="s">
        <v>536</v>
      </c>
      <c r="B441" s="1">
        <v>44742</v>
      </c>
      <c r="C441" t="s">
        <v>19</v>
      </c>
      <c r="D441" t="s">
        <v>91</v>
      </c>
      <c r="E441" t="s">
        <v>66</v>
      </c>
      <c r="F441" t="s">
        <v>22</v>
      </c>
      <c r="G441" t="s">
        <v>75</v>
      </c>
      <c r="H441" t="s">
        <v>24</v>
      </c>
      <c r="I441" t="s">
        <v>25</v>
      </c>
      <c r="J441" t="s">
        <v>26</v>
      </c>
      <c r="K441" t="s">
        <v>143</v>
      </c>
      <c r="L441">
        <v>11.77</v>
      </c>
      <c r="M441">
        <v>8</v>
      </c>
      <c r="N441" s="2">
        <v>0</v>
      </c>
      <c r="O441">
        <v>94.16</v>
      </c>
      <c r="P441">
        <v>0</v>
      </c>
      <c r="Q441">
        <f>Sheet1__3_1_1_1[[#This Row],[Gross_Revenue]]-Sheet1__3_1_1_1[[#This Row],[Discount_Amount]]</f>
        <v>94.16</v>
      </c>
      <c r="R441">
        <v>51.79</v>
      </c>
      <c r="S441">
        <f>Sheet1__3_1_1_1[[#This Row],[Net_Revenue]]-Sheet1__3_1_1_1[[#This Row],[COGS]]</f>
        <v>42.37</v>
      </c>
    </row>
    <row r="442" spans="1:19" x14ac:dyDescent="0.25">
      <c r="A442" t="s">
        <v>537</v>
      </c>
      <c r="B442" s="1">
        <v>45087</v>
      </c>
      <c r="C442" t="s">
        <v>19</v>
      </c>
      <c r="D442" t="s">
        <v>20</v>
      </c>
      <c r="E442" t="s">
        <v>39</v>
      </c>
      <c r="F442" t="s">
        <v>22</v>
      </c>
      <c r="G442" t="s">
        <v>46</v>
      </c>
      <c r="H442" t="s">
        <v>87</v>
      </c>
      <c r="I442" t="s">
        <v>25</v>
      </c>
      <c r="J442" t="s">
        <v>94</v>
      </c>
      <c r="K442" t="s">
        <v>27</v>
      </c>
      <c r="L442">
        <v>20.84</v>
      </c>
      <c r="M442">
        <v>25</v>
      </c>
      <c r="N442" s="2">
        <v>0</v>
      </c>
      <c r="O442">
        <v>521</v>
      </c>
      <c r="P442">
        <v>0</v>
      </c>
      <c r="Q442">
        <f>Sheet1__3_1_1_1[[#This Row],[Gross_Revenue]]-Sheet1__3_1_1_1[[#This Row],[Discount_Amount]]</f>
        <v>521</v>
      </c>
      <c r="R442">
        <v>286.55</v>
      </c>
      <c r="S442">
        <f>Sheet1__3_1_1_1[[#This Row],[Net_Revenue]]-Sheet1__3_1_1_1[[#This Row],[COGS]]</f>
        <v>234.45</v>
      </c>
    </row>
    <row r="443" spans="1:19" x14ac:dyDescent="0.25">
      <c r="A443" t="s">
        <v>538</v>
      </c>
      <c r="B443" s="1">
        <v>45084</v>
      </c>
      <c r="C443" t="s">
        <v>19</v>
      </c>
      <c r="D443" t="s">
        <v>91</v>
      </c>
      <c r="E443" t="s">
        <v>39</v>
      </c>
      <c r="F443" t="s">
        <v>31</v>
      </c>
      <c r="G443" t="s">
        <v>122</v>
      </c>
      <c r="H443" t="s">
        <v>33</v>
      </c>
      <c r="I443" t="s">
        <v>34</v>
      </c>
      <c r="J443" t="s">
        <v>26</v>
      </c>
      <c r="K443" t="s">
        <v>36</v>
      </c>
      <c r="L443">
        <v>508.22</v>
      </c>
      <c r="M443">
        <v>3</v>
      </c>
      <c r="N443" s="2">
        <v>0.15</v>
      </c>
      <c r="O443">
        <v>1524.66</v>
      </c>
      <c r="P443">
        <v>228.69900000000001</v>
      </c>
      <c r="Q443">
        <f>Sheet1__3_1_1_1[[#This Row],[Gross_Revenue]]-Sheet1__3_1_1_1[[#This Row],[Discount_Amount]]</f>
        <v>1295.961</v>
      </c>
      <c r="R443">
        <v>622.05999999999995</v>
      </c>
      <c r="S443">
        <f>Sheet1__3_1_1_1[[#This Row],[Net_Revenue]]-Sheet1__3_1_1_1[[#This Row],[COGS]]</f>
        <v>673.90100000000007</v>
      </c>
    </row>
    <row r="444" spans="1:19" x14ac:dyDescent="0.25">
      <c r="A444" t="s">
        <v>539</v>
      </c>
      <c r="B444" s="1">
        <v>44583</v>
      </c>
      <c r="C444" t="s">
        <v>29</v>
      </c>
      <c r="D444" t="s">
        <v>30</v>
      </c>
      <c r="E444" t="s">
        <v>66</v>
      </c>
      <c r="F444" t="s">
        <v>31</v>
      </c>
      <c r="G444" t="s">
        <v>32</v>
      </c>
      <c r="H444" t="s">
        <v>33</v>
      </c>
      <c r="I444" t="s">
        <v>60</v>
      </c>
      <c r="J444" t="s">
        <v>49</v>
      </c>
      <c r="K444" t="s">
        <v>27</v>
      </c>
      <c r="L444">
        <v>412.13</v>
      </c>
      <c r="M444">
        <v>4</v>
      </c>
      <c r="N444" s="2">
        <v>0</v>
      </c>
      <c r="O444">
        <v>1648.52</v>
      </c>
      <c r="P444">
        <v>0</v>
      </c>
      <c r="Q444">
        <f>Sheet1__3_1_1_1[[#This Row],[Gross_Revenue]]-Sheet1__3_1_1_1[[#This Row],[Discount_Amount]]</f>
        <v>1648.52</v>
      </c>
      <c r="R444">
        <v>791.29</v>
      </c>
      <c r="S444">
        <f>Sheet1__3_1_1_1[[#This Row],[Net_Revenue]]-Sheet1__3_1_1_1[[#This Row],[COGS]]</f>
        <v>857.23</v>
      </c>
    </row>
    <row r="445" spans="1:19" x14ac:dyDescent="0.25">
      <c r="A445" t="s">
        <v>540</v>
      </c>
      <c r="B445" s="1">
        <v>45036</v>
      </c>
      <c r="C445" t="s">
        <v>19</v>
      </c>
      <c r="D445" t="s">
        <v>130</v>
      </c>
      <c r="E445" t="s">
        <v>66</v>
      </c>
      <c r="F445" t="s">
        <v>69</v>
      </c>
      <c r="G445" t="s">
        <v>70</v>
      </c>
      <c r="H445" t="s">
        <v>57</v>
      </c>
      <c r="I445" t="s">
        <v>48</v>
      </c>
      <c r="J445" t="s">
        <v>35</v>
      </c>
      <c r="K445" t="s">
        <v>36</v>
      </c>
      <c r="L445">
        <v>363.21</v>
      </c>
      <c r="M445">
        <v>19</v>
      </c>
      <c r="N445" s="2">
        <v>0</v>
      </c>
      <c r="O445">
        <v>6900.99</v>
      </c>
      <c r="P445">
        <v>0</v>
      </c>
      <c r="Q445">
        <f>Sheet1__3_1_1_1[[#This Row],[Gross_Revenue]]-Sheet1__3_1_1_1[[#This Row],[Discount_Amount]]</f>
        <v>6900.99</v>
      </c>
      <c r="R445">
        <v>2622.38</v>
      </c>
      <c r="S445">
        <f>Sheet1__3_1_1_1[[#This Row],[Net_Revenue]]-Sheet1__3_1_1_1[[#This Row],[COGS]]</f>
        <v>4278.6099999999997</v>
      </c>
    </row>
    <row r="446" spans="1:19" x14ac:dyDescent="0.25">
      <c r="A446" t="s">
        <v>541</v>
      </c>
      <c r="B446" s="1">
        <v>44776</v>
      </c>
      <c r="C446" t="s">
        <v>99</v>
      </c>
      <c r="D446" t="s">
        <v>100</v>
      </c>
      <c r="E446" t="s">
        <v>21</v>
      </c>
      <c r="F446" t="s">
        <v>22</v>
      </c>
      <c r="G446" t="s">
        <v>149</v>
      </c>
      <c r="H446" t="s">
        <v>41</v>
      </c>
      <c r="I446" t="s">
        <v>42</v>
      </c>
      <c r="J446" t="s">
        <v>49</v>
      </c>
      <c r="K446" t="s">
        <v>36</v>
      </c>
      <c r="L446">
        <v>23.12</v>
      </c>
      <c r="M446">
        <v>28</v>
      </c>
      <c r="N446" s="2">
        <v>0</v>
      </c>
      <c r="O446">
        <v>647.36</v>
      </c>
      <c r="P446">
        <v>0</v>
      </c>
      <c r="Q446">
        <f>Sheet1__3_1_1_1[[#This Row],[Gross_Revenue]]-Sheet1__3_1_1_1[[#This Row],[Discount_Amount]]</f>
        <v>647.36</v>
      </c>
      <c r="R446">
        <v>356.05</v>
      </c>
      <c r="S446">
        <f>Sheet1__3_1_1_1[[#This Row],[Net_Revenue]]-Sheet1__3_1_1_1[[#This Row],[COGS]]</f>
        <v>291.31</v>
      </c>
    </row>
    <row r="447" spans="1:19" x14ac:dyDescent="0.25">
      <c r="A447" t="s">
        <v>542</v>
      </c>
      <c r="B447" s="1">
        <v>44604</v>
      </c>
      <c r="C447" t="s">
        <v>77</v>
      </c>
      <c r="D447" t="s">
        <v>110</v>
      </c>
      <c r="E447" t="s">
        <v>63</v>
      </c>
      <c r="F447" t="s">
        <v>31</v>
      </c>
      <c r="G447" t="s">
        <v>93</v>
      </c>
      <c r="H447" t="s">
        <v>33</v>
      </c>
      <c r="I447" t="s">
        <v>25</v>
      </c>
      <c r="J447" t="s">
        <v>89</v>
      </c>
      <c r="K447" t="s">
        <v>36</v>
      </c>
      <c r="L447">
        <v>144.22999999999999</v>
      </c>
      <c r="M447">
        <v>6</v>
      </c>
      <c r="N447" s="2">
        <v>0.15</v>
      </c>
      <c r="O447">
        <v>865.37999999999988</v>
      </c>
      <c r="P447">
        <v>129.80699999999999</v>
      </c>
      <c r="Q447">
        <f>Sheet1__3_1_1_1[[#This Row],[Gross_Revenue]]-Sheet1__3_1_1_1[[#This Row],[Discount_Amount]]</f>
        <v>735.57299999999987</v>
      </c>
      <c r="R447">
        <v>353.07</v>
      </c>
      <c r="S447">
        <f>Sheet1__3_1_1_1[[#This Row],[Net_Revenue]]-Sheet1__3_1_1_1[[#This Row],[COGS]]</f>
        <v>382.50299999999987</v>
      </c>
    </row>
    <row r="448" spans="1:19" x14ac:dyDescent="0.25">
      <c r="A448" t="s">
        <v>543</v>
      </c>
      <c r="B448" s="1">
        <v>44685</v>
      </c>
      <c r="C448" t="s">
        <v>44</v>
      </c>
      <c r="D448" t="s">
        <v>51</v>
      </c>
      <c r="E448" t="s">
        <v>21</v>
      </c>
      <c r="F448" t="s">
        <v>31</v>
      </c>
      <c r="G448" t="s">
        <v>93</v>
      </c>
      <c r="H448" t="s">
        <v>59</v>
      </c>
      <c r="I448" t="s">
        <v>34</v>
      </c>
      <c r="J448" t="s">
        <v>89</v>
      </c>
      <c r="K448" t="s">
        <v>36</v>
      </c>
      <c r="L448">
        <v>122.54</v>
      </c>
      <c r="M448">
        <v>5</v>
      </c>
      <c r="N448" s="2">
        <v>0</v>
      </c>
      <c r="O448">
        <v>612.70000000000005</v>
      </c>
      <c r="P448">
        <v>0</v>
      </c>
      <c r="Q448">
        <f>Sheet1__3_1_1_1[[#This Row],[Gross_Revenue]]-Sheet1__3_1_1_1[[#This Row],[Discount_Amount]]</f>
        <v>612.70000000000005</v>
      </c>
      <c r="R448">
        <v>294.10000000000002</v>
      </c>
      <c r="S448">
        <f>Sheet1__3_1_1_1[[#This Row],[Net_Revenue]]-Sheet1__3_1_1_1[[#This Row],[COGS]]</f>
        <v>318.60000000000002</v>
      </c>
    </row>
    <row r="449" spans="1:19" x14ac:dyDescent="0.25">
      <c r="A449" t="s">
        <v>544</v>
      </c>
      <c r="B449" s="1">
        <v>44807</v>
      </c>
      <c r="C449" t="s">
        <v>99</v>
      </c>
      <c r="D449" t="s">
        <v>148</v>
      </c>
      <c r="E449" t="s">
        <v>66</v>
      </c>
      <c r="F449" t="s">
        <v>31</v>
      </c>
      <c r="G449" t="s">
        <v>93</v>
      </c>
      <c r="H449" t="s">
        <v>57</v>
      </c>
      <c r="I449" t="s">
        <v>42</v>
      </c>
      <c r="J449" t="s">
        <v>49</v>
      </c>
      <c r="K449" t="s">
        <v>36</v>
      </c>
      <c r="L449">
        <v>151.35</v>
      </c>
      <c r="M449">
        <v>8</v>
      </c>
      <c r="N449" s="2">
        <v>0</v>
      </c>
      <c r="O449">
        <v>1210.8</v>
      </c>
      <c r="P449">
        <v>0</v>
      </c>
      <c r="Q449">
        <f>Sheet1__3_1_1_1[[#This Row],[Gross_Revenue]]-Sheet1__3_1_1_1[[#This Row],[Discount_Amount]]</f>
        <v>1210.8</v>
      </c>
      <c r="R449">
        <v>581.17999999999995</v>
      </c>
      <c r="S449">
        <f>Sheet1__3_1_1_1[[#This Row],[Net_Revenue]]-Sheet1__3_1_1_1[[#This Row],[COGS]]</f>
        <v>629.62</v>
      </c>
    </row>
    <row r="450" spans="1:19" x14ac:dyDescent="0.25">
      <c r="A450" t="s">
        <v>545</v>
      </c>
      <c r="B450" s="1">
        <v>45173</v>
      </c>
      <c r="C450" t="s">
        <v>44</v>
      </c>
      <c r="D450" t="s">
        <v>65</v>
      </c>
      <c r="E450" t="s">
        <v>21</v>
      </c>
      <c r="F450" t="s">
        <v>22</v>
      </c>
      <c r="G450" t="s">
        <v>23</v>
      </c>
      <c r="H450" t="s">
        <v>57</v>
      </c>
      <c r="I450" t="s">
        <v>42</v>
      </c>
      <c r="J450" t="s">
        <v>49</v>
      </c>
      <c r="K450" t="s">
        <v>36</v>
      </c>
      <c r="L450">
        <v>17.510000000000002</v>
      </c>
      <c r="M450">
        <v>5</v>
      </c>
      <c r="N450" s="2">
        <v>0.2</v>
      </c>
      <c r="O450">
        <v>87.550000000000011</v>
      </c>
      <c r="P450">
        <v>17.510000000000002</v>
      </c>
      <c r="Q450">
        <f>Sheet1__3_1_1_1[[#This Row],[Gross_Revenue]]-Sheet1__3_1_1_1[[#This Row],[Discount_Amount]]</f>
        <v>70.040000000000006</v>
      </c>
      <c r="R450">
        <v>38.520000000000003</v>
      </c>
      <c r="S450">
        <f>Sheet1__3_1_1_1[[#This Row],[Net_Revenue]]-Sheet1__3_1_1_1[[#This Row],[COGS]]</f>
        <v>31.520000000000003</v>
      </c>
    </row>
    <row r="451" spans="1:19" x14ac:dyDescent="0.25">
      <c r="A451" t="s">
        <v>546</v>
      </c>
      <c r="B451" s="1">
        <v>44582</v>
      </c>
      <c r="C451" t="s">
        <v>44</v>
      </c>
      <c r="D451" t="s">
        <v>65</v>
      </c>
      <c r="E451" t="s">
        <v>39</v>
      </c>
      <c r="F451" t="s">
        <v>31</v>
      </c>
      <c r="G451" t="s">
        <v>32</v>
      </c>
      <c r="H451" t="s">
        <v>108</v>
      </c>
      <c r="I451" t="s">
        <v>34</v>
      </c>
      <c r="J451" t="s">
        <v>89</v>
      </c>
      <c r="K451" t="s">
        <v>36</v>
      </c>
      <c r="L451">
        <v>429.32</v>
      </c>
      <c r="M451">
        <v>6</v>
      </c>
      <c r="N451" s="2">
        <v>0</v>
      </c>
      <c r="O451">
        <v>2575.92</v>
      </c>
      <c r="P451">
        <v>0</v>
      </c>
      <c r="Q451">
        <f>Sheet1__3_1_1_1[[#This Row],[Gross_Revenue]]-Sheet1__3_1_1_1[[#This Row],[Discount_Amount]]</f>
        <v>2575.92</v>
      </c>
      <c r="R451">
        <v>1236.44</v>
      </c>
      <c r="S451">
        <f>Sheet1__3_1_1_1[[#This Row],[Net_Revenue]]-Sheet1__3_1_1_1[[#This Row],[COGS]]</f>
        <v>1339.48</v>
      </c>
    </row>
    <row r="452" spans="1:19" x14ac:dyDescent="0.25">
      <c r="A452" t="s">
        <v>547</v>
      </c>
      <c r="B452" s="1">
        <v>44848</v>
      </c>
      <c r="C452" t="s">
        <v>77</v>
      </c>
      <c r="D452" t="s">
        <v>110</v>
      </c>
      <c r="E452" t="s">
        <v>63</v>
      </c>
      <c r="F452" t="s">
        <v>79</v>
      </c>
      <c r="G452" t="s">
        <v>172</v>
      </c>
      <c r="H452" t="s">
        <v>33</v>
      </c>
      <c r="I452" t="s">
        <v>34</v>
      </c>
      <c r="J452" t="s">
        <v>35</v>
      </c>
      <c r="K452" t="s">
        <v>53</v>
      </c>
      <c r="L452">
        <v>393.27</v>
      </c>
      <c r="M452">
        <v>5</v>
      </c>
      <c r="N452" s="2">
        <v>0.1</v>
      </c>
      <c r="O452">
        <v>1966.35</v>
      </c>
      <c r="P452">
        <v>196.63499999999999</v>
      </c>
      <c r="Q452">
        <f>Sheet1__3_1_1_1[[#This Row],[Gross_Revenue]]-Sheet1__3_1_1_1[[#This Row],[Discount_Amount]]</f>
        <v>1769.7149999999999</v>
      </c>
      <c r="R452">
        <v>1097.23</v>
      </c>
      <c r="S452">
        <f>Sheet1__3_1_1_1[[#This Row],[Net_Revenue]]-Sheet1__3_1_1_1[[#This Row],[COGS]]</f>
        <v>672.4849999999999</v>
      </c>
    </row>
    <row r="453" spans="1:19" x14ac:dyDescent="0.25">
      <c r="A453" t="s">
        <v>548</v>
      </c>
      <c r="B453" s="1">
        <v>45025</v>
      </c>
      <c r="C453" t="s">
        <v>77</v>
      </c>
      <c r="D453" t="s">
        <v>110</v>
      </c>
      <c r="E453" t="s">
        <v>39</v>
      </c>
      <c r="F453" t="s">
        <v>69</v>
      </c>
      <c r="G453" t="s">
        <v>73</v>
      </c>
      <c r="H453" t="s">
        <v>71</v>
      </c>
      <c r="I453" t="s">
        <v>25</v>
      </c>
      <c r="J453" t="s">
        <v>26</v>
      </c>
      <c r="K453" t="s">
        <v>36</v>
      </c>
      <c r="L453">
        <v>10.27</v>
      </c>
      <c r="M453">
        <v>12</v>
      </c>
      <c r="N453" s="2">
        <v>0</v>
      </c>
      <c r="O453">
        <v>123.24</v>
      </c>
      <c r="P453">
        <v>0</v>
      </c>
      <c r="Q453">
        <f>Sheet1__3_1_1_1[[#This Row],[Gross_Revenue]]-Sheet1__3_1_1_1[[#This Row],[Discount_Amount]]</f>
        <v>123.24</v>
      </c>
      <c r="R453">
        <v>46.83</v>
      </c>
      <c r="S453">
        <f>Sheet1__3_1_1_1[[#This Row],[Net_Revenue]]-Sheet1__3_1_1_1[[#This Row],[COGS]]</f>
        <v>76.41</v>
      </c>
    </row>
    <row r="454" spans="1:19" x14ac:dyDescent="0.25">
      <c r="A454" t="s">
        <v>549</v>
      </c>
      <c r="B454" s="1">
        <v>44950</v>
      </c>
      <c r="C454" t="s">
        <v>99</v>
      </c>
      <c r="D454" t="s">
        <v>100</v>
      </c>
      <c r="E454" t="s">
        <v>21</v>
      </c>
      <c r="F454" t="s">
        <v>55</v>
      </c>
      <c r="G454" t="s">
        <v>56</v>
      </c>
      <c r="H454" t="s">
        <v>111</v>
      </c>
      <c r="I454" t="s">
        <v>42</v>
      </c>
      <c r="J454" t="s">
        <v>49</v>
      </c>
      <c r="K454" t="s">
        <v>27</v>
      </c>
      <c r="L454">
        <v>55.12</v>
      </c>
      <c r="M454">
        <v>6</v>
      </c>
      <c r="N454" s="2">
        <v>0.2</v>
      </c>
      <c r="O454">
        <v>330.71999999999997</v>
      </c>
      <c r="P454">
        <v>66.143999999999991</v>
      </c>
      <c r="Q454">
        <f>Sheet1__3_1_1_1[[#This Row],[Gross_Revenue]]-Sheet1__3_1_1_1[[#This Row],[Discount_Amount]]</f>
        <v>264.57599999999996</v>
      </c>
      <c r="R454">
        <v>111.12</v>
      </c>
      <c r="S454">
        <f>Sheet1__3_1_1_1[[#This Row],[Net_Revenue]]-Sheet1__3_1_1_1[[#This Row],[COGS]]</f>
        <v>153.45599999999996</v>
      </c>
    </row>
    <row r="455" spans="1:19" x14ac:dyDescent="0.25">
      <c r="A455" t="s">
        <v>550</v>
      </c>
      <c r="B455" s="1">
        <v>44711</v>
      </c>
      <c r="C455" t="s">
        <v>29</v>
      </c>
      <c r="D455" t="s">
        <v>30</v>
      </c>
      <c r="E455" t="s">
        <v>21</v>
      </c>
      <c r="F455" t="s">
        <v>69</v>
      </c>
      <c r="G455" t="s">
        <v>70</v>
      </c>
      <c r="H455" t="s">
        <v>71</v>
      </c>
      <c r="I455" t="s">
        <v>25</v>
      </c>
      <c r="J455" t="s">
        <v>26</v>
      </c>
      <c r="K455" t="s">
        <v>36</v>
      </c>
      <c r="L455">
        <v>389.67</v>
      </c>
      <c r="M455">
        <v>28</v>
      </c>
      <c r="N455" s="2">
        <v>0.05</v>
      </c>
      <c r="O455">
        <v>10910.76</v>
      </c>
      <c r="P455">
        <v>545.53800000000001</v>
      </c>
      <c r="Q455">
        <f>Sheet1__3_1_1_1[[#This Row],[Gross_Revenue]]-Sheet1__3_1_1_1[[#This Row],[Discount_Amount]]</f>
        <v>10365.222</v>
      </c>
      <c r="R455">
        <v>3938.78</v>
      </c>
      <c r="S455">
        <f>Sheet1__3_1_1_1[[#This Row],[Net_Revenue]]-Sheet1__3_1_1_1[[#This Row],[COGS]]</f>
        <v>6426.4419999999991</v>
      </c>
    </row>
    <row r="456" spans="1:19" x14ac:dyDescent="0.25">
      <c r="A456" t="s">
        <v>551</v>
      </c>
      <c r="B456" s="1">
        <v>45222</v>
      </c>
      <c r="C456" t="s">
        <v>77</v>
      </c>
      <c r="D456" t="s">
        <v>78</v>
      </c>
      <c r="E456" t="s">
        <v>66</v>
      </c>
      <c r="F456" t="s">
        <v>22</v>
      </c>
      <c r="G456" t="s">
        <v>23</v>
      </c>
      <c r="H456" t="s">
        <v>24</v>
      </c>
      <c r="I456" t="s">
        <v>42</v>
      </c>
      <c r="J456" t="s">
        <v>49</v>
      </c>
      <c r="K456" t="s">
        <v>143</v>
      </c>
      <c r="L456">
        <v>15.18</v>
      </c>
      <c r="M456">
        <v>23</v>
      </c>
      <c r="N456" s="2">
        <v>0</v>
      </c>
      <c r="O456">
        <v>349.14</v>
      </c>
      <c r="P456">
        <v>0</v>
      </c>
      <c r="Q456">
        <f>Sheet1__3_1_1_1[[#This Row],[Gross_Revenue]]-Sheet1__3_1_1_1[[#This Row],[Discount_Amount]]</f>
        <v>349.14</v>
      </c>
      <c r="R456">
        <v>192.03</v>
      </c>
      <c r="S456">
        <f>Sheet1__3_1_1_1[[#This Row],[Net_Revenue]]-Sheet1__3_1_1_1[[#This Row],[COGS]]</f>
        <v>157.10999999999999</v>
      </c>
    </row>
    <row r="457" spans="1:19" x14ac:dyDescent="0.25">
      <c r="A457" t="s">
        <v>552</v>
      </c>
      <c r="B457" s="1">
        <v>44628</v>
      </c>
      <c r="C457" t="s">
        <v>19</v>
      </c>
      <c r="D457" t="s">
        <v>130</v>
      </c>
      <c r="E457" t="s">
        <v>39</v>
      </c>
      <c r="F457" t="s">
        <v>31</v>
      </c>
      <c r="G457" t="s">
        <v>40</v>
      </c>
      <c r="H457" t="s">
        <v>87</v>
      </c>
      <c r="I457" t="s">
        <v>42</v>
      </c>
      <c r="J457" t="s">
        <v>26</v>
      </c>
      <c r="K457" t="s">
        <v>27</v>
      </c>
      <c r="L457">
        <v>233.17</v>
      </c>
      <c r="M457">
        <v>4</v>
      </c>
      <c r="N457" s="2">
        <v>0.1</v>
      </c>
      <c r="O457">
        <v>932.68</v>
      </c>
      <c r="P457">
        <v>93.268000000000001</v>
      </c>
      <c r="Q457">
        <f>Sheet1__3_1_1_1[[#This Row],[Gross_Revenue]]-Sheet1__3_1_1_1[[#This Row],[Discount_Amount]]</f>
        <v>839.41199999999992</v>
      </c>
      <c r="R457">
        <v>402.92</v>
      </c>
      <c r="S457">
        <f>Sheet1__3_1_1_1[[#This Row],[Net_Revenue]]-Sheet1__3_1_1_1[[#This Row],[COGS]]</f>
        <v>436.4919999999999</v>
      </c>
    </row>
    <row r="458" spans="1:19" x14ac:dyDescent="0.25">
      <c r="A458" t="s">
        <v>553</v>
      </c>
      <c r="B458" s="1">
        <v>44948</v>
      </c>
      <c r="C458" t="s">
        <v>99</v>
      </c>
      <c r="D458" t="s">
        <v>148</v>
      </c>
      <c r="E458" t="s">
        <v>66</v>
      </c>
      <c r="F458" t="s">
        <v>31</v>
      </c>
      <c r="G458" t="s">
        <v>32</v>
      </c>
      <c r="H458" t="s">
        <v>41</v>
      </c>
      <c r="I458" t="s">
        <v>42</v>
      </c>
      <c r="J458" t="s">
        <v>94</v>
      </c>
      <c r="K458" t="s">
        <v>36</v>
      </c>
      <c r="L458">
        <v>431.67</v>
      </c>
      <c r="M458">
        <v>4</v>
      </c>
      <c r="N458" s="2">
        <v>0.05</v>
      </c>
      <c r="O458">
        <v>1726.68</v>
      </c>
      <c r="P458">
        <v>86.334000000000003</v>
      </c>
      <c r="Q458">
        <f>Sheet1__3_1_1_1[[#This Row],[Gross_Revenue]]-Sheet1__3_1_1_1[[#This Row],[Discount_Amount]]</f>
        <v>1640.346</v>
      </c>
      <c r="R458">
        <v>787.37</v>
      </c>
      <c r="S458">
        <f>Sheet1__3_1_1_1[[#This Row],[Net_Revenue]]-Sheet1__3_1_1_1[[#This Row],[COGS]]</f>
        <v>852.976</v>
      </c>
    </row>
    <row r="459" spans="1:19" x14ac:dyDescent="0.25">
      <c r="A459" t="s">
        <v>554</v>
      </c>
      <c r="B459" s="1">
        <v>44831</v>
      </c>
      <c r="C459" t="s">
        <v>29</v>
      </c>
      <c r="D459" t="s">
        <v>38</v>
      </c>
      <c r="E459" t="s">
        <v>66</v>
      </c>
      <c r="F459" t="s">
        <v>69</v>
      </c>
      <c r="G459" t="s">
        <v>70</v>
      </c>
      <c r="H459" t="s">
        <v>71</v>
      </c>
      <c r="I459" t="s">
        <v>60</v>
      </c>
      <c r="J459" t="s">
        <v>26</v>
      </c>
      <c r="K459" t="s">
        <v>36</v>
      </c>
      <c r="L459">
        <v>298.14</v>
      </c>
      <c r="M459">
        <v>27</v>
      </c>
      <c r="N459" s="2">
        <v>0.15</v>
      </c>
      <c r="O459">
        <v>8049.78</v>
      </c>
      <c r="P459">
        <v>1207.4669999999999</v>
      </c>
      <c r="Q459">
        <f>Sheet1__3_1_1_1[[#This Row],[Gross_Revenue]]-Sheet1__3_1_1_1[[#This Row],[Discount_Amount]]</f>
        <v>6842.3130000000001</v>
      </c>
      <c r="R459">
        <v>2600.08</v>
      </c>
      <c r="S459">
        <f>Sheet1__3_1_1_1[[#This Row],[Net_Revenue]]-Sheet1__3_1_1_1[[#This Row],[COGS]]</f>
        <v>4242.2330000000002</v>
      </c>
    </row>
    <row r="460" spans="1:19" x14ac:dyDescent="0.25">
      <c r="A460" t="s">
        <v>555</v>
      </c>
      <c r="B460" s="1">
        <v>45048</v>
      </c>
      <c r="C460" t="s">
        <v>77</v>
      </c>
      <c r="D460" t="s">
        <v>110</v>
      </c>
      <c r="E460" t="s">
        <v>21</v>
      </c>
      <c r="F460" t="s">
        <v>69</v>
      </c>
      <c r="G460" t="s">
        <v>126</v>
      </c>
      <c r="H460" t="s">
        <v>87</v>
      </c>
      <c r="I460" t="s">
        <v>60</v>
      </c>
      <c r="J460" t="s">
        <v>35</v>
      </c>
      <c r="K460" t="s">
        <v>27</v>
      </c>
      <c r="L460">
        <v>29.84</v>
      </c>
      <c r="M460">
        <v>9</v>
      </c>
      <c r="N460" s="2">
        <v>0.15</v>
      </c>
      <c r="O460">
        <v>268.56</v>
      </c>
      <c r="P460">
        <v>40.283999999999999</v>
      </c>
      <c r="Q460">
        <f>Sheet1__3_1_1_1[[#This Row],[Gross_Revenue]]-Sheet1__3_1_1_1[[#This Row],[Discount_Amount]]</f>
        <v>228.27600000000001</v>
      </c>
      <c r="R460">
        <v>86.75</v>
      </c>
      <c r="S460">
        <f>Sheet1__3_1_1_1[[#This Row],[Net_Revenue]]-Sheet1__3_1_1_1[[#This Row],[COGS]]</f>
        <v>141.52600000000001</v>
      </c>
    </row>
    <row r="461" spans="1:19" x14ac:dyDescent="0.25">
      <c r="A461" t="s">
        <v>556</v>
      </c>
      <c r="B461" s="1">
        <v>44959</v>
      </c>
      <c r="C461" t="s">
        <v>77</v>
      </c>
      <c r="D461" t="s">
        <v>110</v>
      </c>
      <c r="E461" t="s">
        <v>66</v>
      </c>
      <c r="F461" t="s">
        <v>31</v>
      </c>
      <c r="G461" t="s">
        <v>122</v>
      </c>
      <c r="H461" t="s">
        <v>106</v>
      </c>
      <c r="I461" t="s">
        <v>25</v>
      </c>
      <c r="J461" t="s">
        <v>35</v>
      </c>
      <c r="K461" t="s">
        <v>53</v>
      </c>
      <c r="L461">
        <v>482.38</v>
      </c>
      <c r="M461">
        <v>8</v>
      </c>
      <c r="N461" s="2">
        <v>0</v>
      </c>
      <c r="O461">
        <v>3859.04</v>
      </c>
      <c r="P461">
        <v>0</v>
      </c>
      <c r="Q461">
        <f>Sheet1__3_1_1_1[[#This Row],[Gross_Revenue]]-Sheet1__3_1_1_1[[#This Row],[Discount_Amount]]</f>
        <v>3859.04</v>
      </c>
      <c r="R461">
        <v>1852.34</v>
      </c>
      <c r="S461">
        <f>Sheet1__3_1_1_1[[#This Row],[Net_Revenue]]-Sheet1__3_1_1_1[[#This Row],[COGS]]</f>
        <v>2006.7</v>
      </c>
    </row>
    <row r="462" spans="1:19" x14ac:dyDescent="0.25">
      <c r="A462" t="s">
        <v>557</v>
      </c>
      <c r="B462" s="1">
        <v>44652</v>
      </c>
      <c r="C462" t="s">
        <v>19</v>
      </c>
      <c r="D462" t="s">
        <v>130</v>
      </c>
      <c r="E462" t="s">
        <v>63</v>
      </c>
      <c r="F462" t="s">
        <v>55</v>
      </c>
      <c r="G462" t="s">
        <v>83</v>
      </c>
      <c r="H462" t="s">
        <v>47</v>
      </c>
      <c r="I462" t="s">
        <v>60</v>
      </c>
      <c r="J462" t="s">
        <v>35</v>
      </c>
      <c r="K462" t="s">
        <v>36</v>
      </c>
      <c r="L462">
        <v>60.37</v>
      </c>
      <c r="M462">
        <v>4</v>
      </c>
      <c r="N462" s="2">
        <v>0.05</v>
      </c>
      <c r="O462">
        <v>241.48</v>
      </c>
      <c r="P462">
        <v>12.074</v>
      </c>
      <c r="Q462">
        <f>Sheet1__3_1_1_1[[#This Row],[Gross_Revenue]]-Sheet1__3_1_1_1[[#This Row],[Discount_Amount]]</f>
        <v>229.40599999999998</v>
      </c>
      <c r="R462">
        <v>96.35</v>
      </c>
      <c r="S462">
        <f>Sheet1__3_1_1_1[[#This Row],[Net_Revenue]]-Sheet1__3_1_1_1[[#This Row],[COGS]]</f>
        <v>133.05599999999998</v>
      </c>
    </row>
    <row r="463" spans="1:19" x14ac:dyDescent="0.25">
      <c r="A463" t="s">
        <v>558</v>
      </c>
      <c r="B463" s="1">
        <v>45283</v>
      </c>
      <c r="C463" t="s">
        <v>99</v>
      </c>
      <c r="D463" t="s">
        <v>132</v>
      </c>
      <c r="E463" t="s">
        <v>66</v>
      </c>
      <c r="F463" t="s">
        <v>79</v>
      </c>
      <c r="G463" t="s">
        <v>80</v>
      </c>
      <c r="H463" t="s">
        <v>24</v>
      </c>
      <c r="I463" t="s">
        <v>34</v>
      </c>
      <c r="J463" t="s">
        <v>49</v>
      </c>
      <c r="K463" t="s">
        <v>53</v>
      </c>
      <c r="L463">
        <v>560.45000000000005</v>
      </c>
      <c r="M463">
        <v>2</v>
      </c>
      <c r="N463" s="2">
        <v>0.05</v>
      </c>
      <c r="O463">
        <v>1120.9000000000001</v>
      </c>
      <c r="P463">
        <v>56.045000000000009</v>
      </c>
      <c r="Q463">
        <f>Sheet1__3_1_1_1[[#This Row],[Gross_Revenue]]-Sheet1__3_1_1_1[[#This Row],[Discount_Amount]]</f>
        <v>1064.855</v>
      </c>
      <c r="R463">
        <v>660.21</v>
      </c>
      <c r="S463">
        <f>Sheet1__3_1_1_1[[#This Row],[Net_Revenue]]-Sheet1__3_1_1_1[[#This Row],[COGS]]</f>
        <v>404.64499999999998</v>
      </c>
    </row>
    <row r="464" spans="1:19" x14ac:dyDescent="0.25">
      <c r="A464" t="s">
        <v>559</v>
      </c>
      <c r="B464" s="1">
        <v>45221</v>
      </c>
      <c r="C464" t="s">
        <v>99</v>
      </c>
      <c r="D464" t="s">
        <v>148</v>
      </c>
      <c r="E464" t="s">
        <v>39</v>
      </c>
      <c r="F464" t="s">
        <v>31</v>
      </c>
      <c r="G464" t="s">
        <v>93</v>
      </c>
      <c r="H464" t="s">
        <v>108</v>
      </c>
      <c r="I464" t="s">
        <v>25</v>
      </c>
      <c r="J464" t="s">
        <v>26</v>
      </c>
      <c r="K464" t="s">
        <v>36</v>
      </c>
      <c r="L464">
        <v>131.35</v>
      </c>
      <c r="M464">
        <v>3</v>
      </c>
      <c r="N464" s="2">
        <v>0</v>
      </c>
      <c r="O464">
        <v>394.04999999999995</v>
      </c>
      <c r="P464">
        <v>0</v>
      </c>
      <c r="Q464">
        <f>Sheet1__3_1_1_1[[#This Row],[Gross_Revenue]]-Sheet1__3_1_1_1[[#This Row],[Discount_Amount]]</f>
        <v>394.04999999999995</v>
      </c>
      <c r="R464">
        <v>189.14</v>
      </c>
      <c r="S464">
        <f>Sheet1__3_1_1_1[[#This Row],[Net_Revenue]]-Sheet1__3_1_1_1[[#This Row],[COGS]]</f>
        <v>204.90999999999997</v>
      </c>
    </row>
    <row r="465" spans="1:19" x14ac:dyDescent="0.25">
      <c r="A465" t="s">
        <v>560</v>
      </c>
      <c r="B465" s="1">
        <v>44576</v>
      </c>
      <c r="C465" t="s">
        <v>19</v>
      </c>
      <c r="D465" t="s">
        <v>91</v>
      </c>
      <c r="E465" t="s">
        <v>39</v>
      </c>
      <c r="F465" t="s">
        <v>79</v>
      </c>
      <c r="G465" t="s">
        <v>80</v>
      </c>
      <c r="H465" t="s">
        <v>24</v>
      </c>
      <c r="I465" t="s">
        <v>60</v>
      </c>
      <c r="J465" t="s">
        <v>35</v>
      </c>
      <c r="K465" t="s">
        <v>36</v>
      </c>
      <c r="L465">
        <v>633</v>
      </c>
      <c r="M465">
        <v>6</v>
      </c>
      <c r="N465" s="2">
        <v>0</v>
      </c>
      <c r="O465">
        <v>3798</v>
      </c>
      <c r="P465">
        <v>0</v>
      </c>
      <c r="Q465">
        <f>Sheet1__3_1_1_1[[#This Row],[Gross_Revenue]]-Sheet1__3_1_1_1[[#This Row],[Discount_Amount]]</f>
        <v>3798</v>
      </c>
      <c r="R465">
        <v>2354.7600000000002</v>
      </c>
      <c r="S465">
        <f>Sheet1__3_1_1_1[[#This Row],[Net_Revenue]]-Sheet1__3_1_1_1[[#This Row],[COGS]]</f>
        <v>1443.2399999999998</v>
      </c>
    </row>
    <row r="466" spans="1:19" x14ac:dyDescent="0.25">
      <c r="A466" t="s">
        <v>561</v>
      </c>
      <c r="B466" s="1">
        <v>45007</v>
      </c>
      <c r="C466" t="s">
        <v>77</v>
      </c>
      <c r="D466" t="s">
        <v>78</v>
      </c>
      <c r="E466" t="s">
        <v>66</v>
      </c>
      <c r="F466" t="s">
        <v>79</v>
      </c>
      <c r="G466" t="s">
        <v>80</v>
      </c>
      <c r="H466" t="s">
        <v>106</v>
      </c>
      <c r="I466" t="s">
        <v>42</v>
      </c>
      <c r="J466" t="s">
        <v>26</v>
      </c>
      <c r="K466" t="s">
        <v>143</v>
      </c>
      <c r="L466">
        <v>571.54999999999995</v>
      </c>
      <c r="M466">
        <v>4</v>
      </c>
      <c r="N466" s="2">
        <v>0.05</v>
      </c>
      <c r="O466">
        <v>2286.1999999999998</v>
      </c>
      <c r="P466">
        <v>114.31</v>
      </c>
      <c r="Q466">
        <f>Sheet1__3_1_1_1[[#This Row],[Gross_Revenue]]-Sheet1__3_1_1_1[[#This Row],[Discount_Amount]]</f>
        <v>2171.89</v>
      </c>
      <c r="R466">
        <v>1346.57</v>
      </c>
      <c r="S466">
        <f>Sheet1__3_1_1_1[[#This Row],[Net_Revenue]]-Sheet1__3_1_1_1[[#This Row],[COGS]]</f>
        <v>825.31999999999994</v>
      </c>
    </row>
    <row r="467" spans="1:19" x14ac:dyDescent="0.25">
      <c r="A467" t="s">
        <v>562</v>
      </c>
      <c r="B467" s="1">
        <v>45018</v>
      </c>
      <c r="C467" t="s">
        <v>19</v>
      </c>
      <c r="D467" t="s">
        <v>20</v>
      </c>
      <c r="E467" t="s">
        <v>21</v>
      </c>
      <c r="F467" t="s">
        <v>31</v>
      </c>
      <c r="G467" t="s">
        <v>40</v>
      </c>
      <c r="H467" t="s">
        <v>57</v>
      </c>
      <c r="I467" t="s">
        <v>60</v>
      </c>
      <c r="J467" t="s">
        <v>49</v>
      </c>
      <c r="K467" t="s">
        <v>27</v>
      </c>
      <c r="L467">
        <v>188.07</v>
      </c>
      <c r="M467">
        <v>8</v>
      </c>
      <c r="N467" s="2">
        <v>0.2</v>
      </c>
      <c r="O467">
        <v>1504.56</v>
      </c>
      <c r="P467">
        <v>300.91199999999998</v>
      </c>
      <c r="Q467">
        <f>Sheet1__3_1_1_1[[#This Row],[Gross_Revenue]]-Sheet1__3_1_1_1[[#This Row],[Discount_Amount]]</f>
        <v>1203.6479999999999</v>
      </c>
      <c r="R467">
        <v>577.75</v>
      </c>
      <c r="S467">
        <f>Sheet1__3_1_1_1[[#This Row],[Net_Revenue]]-Sheet1__3_1_1_1[[#This Row],[COGS]]</f>
        <v>625.89799999999991</v>
      </c>
    </row>
    <row r="468" spans="1:19" x14ac:dyDescent="0.25">
      <c r="A468" t="s">
        <v>563</v>
      </c>
      <c r="B468" s="1">
        <v>44656</v>
      </c>
      <c r="C468" t="s">
        <v>19</v>
      </c>
      <c r="D468" t="s">
        <v>91</v>
      </c>
      <c r="E468" t="s">
        <v>39</v>
      </c>
      <c r="F468" t="s">
        <v>79</v>
      </c>
      <c r="G468" t="s">
        <v>56</v>
      </c>
      <c r="H468" t="s">
        <v>111</v>
      </c>
      <c r="I468" t="s">
        <v>60</v>
      </c>
      <c r="J468" t="s">
        <v>89</v>
      </c>
      <c r="K468" t="s">
        <v>53</v>
      </c>
      <c r="L468">
        <v>47.18</v>
      </c>
      <c r="M468">
        <v>7</v>
      </c>
      <c r="N468" s="2">
        <v>0.15</v>
      </c>
      <c r="O468">
        <v>330.26</v>
      </c>
      <c r="P468">
        <v>49.538999999999994</v>
      </c>
      <c r="Q468">
        <f>Sheet1__3_1_1_1[[#This Row],[Gross_Revenue]]-Sheet1__3_1_1_1[[#This Row],[Discount_Amount]]</f>
        <v>280.721</v>
      </c>
      <c r="R468">
        <v>174.05</v>
      </c>
      <c r="S468">
        <f>Sheet1__3_1_1_1[[#This Row],[Net_Revenue]]-Sheet1__3_1_1_1[[#This Row],[COGS]]</f>
        <v>106.67099999999999</v>
      </c>
    </row>
    <row r="469" spans="1:19" x14ac:dyDescent="0.25">
      <c r="A469" t="s">
        <v>564</v>
      </c>
      <c r="B469" s="1">
        <v>44956</v>
      </c>
      <c r="C469" t="s">
        <v>77</v>
      </c>
      <c r="D469" t="s">
        <v>110</v>
      </c>
      <c r="E469" t="s">
        <v>63</v>
      </c>
      <c r="F469" t="s">
        <v>31</v>
      </c>
      <c r="G469" t="s">
        <v>32</v>
      </c>
      <c r="H469" t="s">
        <v>108</v>
      </c>
      <c r="I469" t="s">
        <v>34</v>
      </c>
      <c r="J469" t="s">
        <v>26</v>
      </c>
      <c r="K469" t="s">
        <v>143</v>
      </c>
      <c r="L469">
        <v>429.02</v>
      </c>
      <c r="M469">
        <v>3</v>
      </c>
      <c r="N469" s="2">
        <v>0</v>
      </c>
      <c r="O469">
        <v>1287.06</v>
      </c>
      <c r="P469">
        <v>0</v>
      </c>
      <c r="Q469">
        <f>Sheet1__3_1_1_1[[#This Row],[Gross_Revenue]]-Sheet1__3_1_1_1[[#This Row],[Discount_Amount]]</f>
        <v>1287.06</v>
      </c>
      <c r="R469">
        <v>617.79</v>
      </c>
      <c r="S469">
        <f>Sheet1__3_1_1_1[[#This Row],[Net_Revenue]]-Sheet1__3_1_1_1[[#This Row],[COGS]]</f>
        <v>669.27</v>
      </c>
    </row>
    <row r="470" spans="1:19" x14ac:dyDescent="0.25">
      <c r="A470" t="s">
        <v>565</v>
      </c>
      <c r="B470" s="1">
        <v>44793</v>
      </c>
      <c r="C470" t="s">
        <v>77</v>
      </c>
      <c r="D470" t="s">
        <v>78</v>
      </c>
      <c r="E470" t="s">
        <v>21</v>
      </c>
      <c r="F470" t="s">
        <v>69</v>
      </c>
      <c r="G470" t="s">
        <v>190</v>
      </c>
      <c r="H470" t="s">
        <v>41</v>
      </c>
      <c r="I470" t="s">
        <v>25</v>
      </c>
      <c r="J470" t="s">
        <v>35</v>
      </c>
      <c r="K470" t="s">
        <v>27</v>
      </c>
      <c r="L470">
        <v>16.079999999999998</v>
      </c>
      <c r="M470">
        <v>15</v>
      </c>
      <c r="N470" s="2">
        <v>0.15</v>
      </c>
      <c r="O470">
        <v>241.2</v>
      </c>
      <c r="P470">
        <v>36.18</v>
      </c>
      <c r="Q470">
        <f>Sheet1__3_1_1_1[[#This Row],[Gross_Revenue]]-Sheet1__3_1_1_1[[#This Row],[Discount_Amount]]</f>
        <v>205.01999999999998</v>
      </c>
      <c r="R470">
        <v>77.91</v>
      </c>
      <c r="S470">
        <f>Sheet1__3_1_1_1[[#This Row],[Net_Revenue]]-Sheet1__3_1_1_1[[#This Row],[COGS]]</f>
        <v>127.10999999999999</v>
      </c>
    </row>
    <row r="471" spans="1:19" x14ac:dyDescent="0.25">
      <c r="A471" t="s">
        <v>566</v>
      </c>
      <c r="B471" s="1">
        <v>45143</v>
      </c>
      <c r="C471" t="s">
        <v>19</v>
      </c>
      <c r="D471" t="s">
        <v>91</v>
      </c>
      <c r="E471" t="s">
        <v>39</v>
      </c>
      <c r="F471" t="s">
        <v>55</v>
      </c>
      <c r="G471" t="s">
        <v>67</v>
      </c>
      <c r="H471" t="s">
        <v>57</v>
      </c>
      <c r="I471" t="s">
        <v>34</v>
      </c>
      <c r="J471" t="s">
        <v>26</v>
      </c>
      <c r="K471" t="s">
        <v>143</v>
      </c>
      <c r="L471">
        <v>66.53</v>
      </c>
      <c r="M471">
        <v>5</v>
      </c>
      <c r="N471" s="2">
        <v>0.1</v>
      </c>
      <c r="O471">
        <v>332.65</v>
      </c>
      <c r="P471">
        <v>33.265000000000001</v>
      </c>
      <c r="Q471">
        <f>Sheet1__3_1_1_1[[#This Row],[Gross_Revenue]]-Sheet1__3_1_1_1[[#This Row],[Discount_Amount]]</f>
        <v>299.38499999999999</v>
      </c>
      <c r="R471">
        <v>125.74</v>
      </c>
      <c r="S471">
        <f>Sheet1__3_1_1_1[[#This Row],[Net_Revenue]]-Sheet1__3_1_1_1[[#This Row],[COGS]]</f>
        <v>173.64499999999998</v>
      </c>
    </row>
    <row r="472" spans="1:19" x14ac:dyDescent="0.25">
      <c r="A472" t="s">
        <v>567</v>
      </c>
      <c r="B472" s="1">
        <v>44875</v>
      </c>
      <c r="C472" t="s">
        <v>19</v>
      </c>
      <c r="D472" t="s">
        <v>130</v>
      </c>
      <c r="E472" t="s">
        <v>63</v>
      </c>
      <c r="F472" t="s">
        <v>55</v>
      </c>
      <c r="G472" t="s">
        <v>120</v>
      </c>
      <c r="H472" t="s">
        <v>111</v>
      </c>
      <c r="I472" t="s">
        <v>42</v>
      </c>
      <c r="J472" t="s">
        <v>94</v>
      </c>
      <c r="K472" t="s">
        <v>143</v>
      </c>
      <c r="L472">
        <v>108.15</v>
      </c>
      <c r="M472">
        <v>1</v>
      </c>
      <c r="N472" s="2">
        <v>0</v>
      </c>
      <c r="O472">
        <v>108.15</v>
      </c>
      <c r="P472">
        <v>0</v>
      </c>
      <c r="Q472">
        <f>Sheet1__3_1_1_1[[#This Row],[Gross_Revenue]]-Sheet1__3_1_1_1[[#This Row],[Discount_Amount]]</f>
        <v>108.15</v>
      </c>
      <c r="R472">
        <v>45.42</v>
      </c>
      <c r="S472">
        <f>Sheet1__3_1_1_1[[#This Row],[Net_Revenue]]-Sheet1__3_1_1_1[[#This Row],[COGS]]</f>
        <v>62.730000000000004</v>
      </c>
    </row>
    <row r="473" spans="1:19" x14ac:dyDescent="0.25">
      <c r="A473" t="s">
        <v>568</v>
      </c>
      <c r="B473" s="1">
        <v>45140</v>
      </c>
      <c r="C473" t="s">
        <v>77</v>
      </c>
      <c r="D473" t="s">
        <v>78</v>
      </c>
      <c r="E473" t="s">
        <v>66</v>
      </c>
      <c r="F473" t="s">
        <v>79</v>
      </c>
      <c r="G473" t="s">
        <v>96</v>
      </c>
      <c r="H473" t="s">
        <v>47</v>
      </c>
      <c r="I473" t="s">
        <v>25</v>
      </c>
      <c r="J473" t="s">
        <v>35</v>
      </c>
      <c r="K473" t="s">
        <v>53</v>
      </c>
      <c r="L473">
        <v>400.55</v>
      </c>
      <c r="M473">
        <v>2</v>
      </c>
      <c r="N473" s="2">
        <v>0</v>
      </c>
      <c r="O473">
        <v>801.1</v>
      </c>
      <c r="P473">
        <v>0</v>
      </c>
      <c r="Q473">
        <f>Sheet1__3_1_1_1[[#This Row],[Gross_Revenue]]-Sheet1__3_1_1_1[[#This Row],[Discount_Amount]]</f>
        <v>801.1</v>
      </c>
      <c r="R473">
        <v>496.68</v>
      </c>
      <c r="S473">
        <f>Sheet1__3_1_1_1[[#This Row],[Net_Revenue]]-Sheet1__3_1_1_1[[#This Row],[COGS]]</f>
        <v>304.42</v>
      </c>
    </row>
    <row r="474" spans="1:19" x14ac:dyDescent="0.25">
      <c r="A474" t="s">
        <v>569</v>
      </c>
      <c r="B474" s="1">
        <v>44781</v>
      </c>
      <c r="C474" t="s">
        <v>29</v>
      </c>
      <c r="D474" t="s">
        <v>30</v>
      </c>
      <c r="E474" t="s">
        <v>39</v>
      </c>
      <c r="F474" t="s">
        <v>69</v>
      </c>
      <c r="G474" t="s">
        <v>101</v>
      </c>
      <c r="H474" t="s">
        <v>108</v>
      </c>
      <c r="I474" t="s">
        <v>34</v>
      </c>
      <c r="J474" t="s">
        <v>94</v>
      </c>
      <c r="K474" t="s">
        <v>36</v>
      </c>
      <c r="L474">
        <v>7.3</v>
      </c>
      <c r="M474">
        <v>25</v>
      </c>
      <c r="N474" s="2">
        <v>0</v>
      </c>
      <c r="O474">
        <v>182.5</v>
      </c>
      <c r="P474">
        <v>0</v>
      </c>
      <c r="Q474">
        <f>Sheet1__3_1_1_1[[#This Row],[Gross_Revenue]]-Sheet1__3_1_1_1[[#This Row],[Discount_Amount]]</f>
        <v>182.5</v>
      </c>
      <c r="R474">
        <v>69.349999999999994</v>
      </c>
      <c r="S474">
        <f>Sheet1__3_1_1_1[[#This Row],[Net_Revenue]]-Sheet1__3_1_1_1[[#This Row],[COGS]]</f>
        <v>113.15</v>
      </c>
    </row>
    <row r="475" spans="1:19" x14ac:dyDescent="0.25">
      <c r="A475" t="s">
        <v>570</v>
      </c>
      <c r="B475" s="1">
        <v>45139</v>
      </c>
      <c r="C475" t="s">
        <v>29</v>
      </c>
      <c r="D475" t="s">
        <v>38</v>
      </c>
      <c r="E475" t="s">
        <v>66</v>
      </c>
      <c r="F475" t="s">
        <v>79</v>
      </c>
      <c r="G475" t="s">
        <v>85</v>
      </c>
      <c r="H475" t="s">
        <v>52</v>
      </c>
      <c r="I475" t="s">
        <v>48</v>
      </c>
      <c r="J475" t="s">
        <v>26</v>
      </c>
      <c r="K475" t="s">
        <v>143</v>
      </c>
      <c r="L475">
        <v>983.27</v>
      </c>
      <c r="M475">
        <v>7</v>
      </c>
      <c r="N475" s="2">
        <v>0.1</v>
      </c>
      <c r="O475">
        <v>6882.8899999999994</v>
      </c>
      <c r="P475">
        <v>688.28899999999999</v>
      </c>
      <c r="Q475">
        <f>Sheet1__3_1_1_1[[#This Row],[Gross_Revenue]]-Sheet1__3_1_1_1[[#This Row],[Discount_Amount]]</f>
        <v>6194.6009999999997</v>
      </c>
      <c r="R475">
        <v>3840.65</v>
      </c>
      <c r="S475">
        <f>Sheet1__3_1_1_1[[#This Row],[Net_Revenue]]-Sheet1__3_1_1_1[[#This Row],[COGS]]</f>
        <v>2353.9509999999996</v>
      </c>
    </row>
    <row r="476" spans="1:19" x14ac:dyDescent="0.25">
      <c r="A476" t="s">
        <v>571</v>
      </c>
      <c r="B476" s="1">
        <v>44879</v>
      </c>
      <c r="C476" t="s">
        <v>44</v>
      </c>
      <c r="D476" t="s">
        <v>45</v>
      </c>
      <c r="E476" t="s">
        <v>39</v>
      </c>
      <c r="F476" t="s">
        <v>69</v>
      </c>
      <c r="G476" t="s">
        <v>126</v>
      </c>
      <c r="H476" t="s">
        <v>52</v>
      </c>
      <c r="I476" t="s">
        <v>48</v>
      </c>
      <c r="J476" t="s">
        <v>49</v>
      </c>
      <c r="K476" t="s">
        <v>143</v>
      </c>
      <c r="L476">
        <v>26.33</v>
      </c>
      <c r="M476">
        <v>1</v>
      </c>
      <c r="N476" s="2">
        <v>0</v>
      </c>
      <c r="O476">
        <v>26.33</v>
      </c>
      <c r="P476">
        <v>0</v>
      </c>
      <c r="Q476">
        <f>Sheet1__3_1_1_1[[#This Row],[Gross_Revenue]]-Sheet1__3_1_1_1[[#This Row],[Discount_Amount]]</f>
        <v>26.33</v>
      </c>
      <c r="R476">
        <v>10.01</v>
      </c>
      <c r="S476">
        <f>Sheet1__3_1_1_1[[#This Row],[Net_Revenue]]-Sheet1__3_1_1_1[[#This Row],[COGS]]</f>
        <v>16.32</v>
      </c>
    </row>
    <row r="477" spans="1:19" x14ac:dyDescent="0.25">
      <c r="A477" t="s">
        <v>572</v>
      </c>
      <c r="B477" s="1">
        <v>45063</v>
      </c>
      <c r="C477" t="s">
        <v>99</v>
      </c>
      <c r="D477" t="s">
        <v>148</v>
      </c>
      <c r="E477" t="s">
        <v>21</v>
      </c>
      <c r="F477" t="s">
        <v>69</v>
      </c>
      <c r="G477" t="s">
        <v>101</v>
      </c>
      <c r="H477" t="s">
        <v>24</v>
      </c>
      <c r="I477" t="s">
        <v>48</v>
      </c>
      <c r="J477" t="s">
        <v>89</v>
      </c>
      <c r="K477" t="s">
        <v>36</v>
      </c>
      <c r="L477">
        <v>6.8</v>
      </c>
      <c r="M477">
        <v>23</v>
      </c>
      <c r="N477" s="2">
        <v>0</v>
      </c>
      <c r="O477">
        <v>156.4</v>
      </c>
      <c r="P477">
        <v>0</v>
      </c>
      <c r="Q477">
        <f>Sheet1__3_1_1_1[[#This Row],[Gross_Revenue]]-Sheet1__3_1_1_1[[#This Row],[Discount_Amount]]</f>
        <v>156.4</v>
      </c>
      <c r="R477">
        <v>59.43</v>
      </c>
      <c r="S477">
        <f>Sheet1__3_1_1_1[[#This Row],[Net_Revenue]]-Sheet1__3_1_1_1[[#This Row],[COGS]]</f>
        <v>96.97</v>
      </c>
    </row>
    <row r="478" spans="1:19" x14ac:dyDescent="0.25">
      <c r="A478" t="s">
        <v>573</v>
      </c>
      <c r="B478" s="1">
        <v>44759</v>
      </c>
      <c r="C478" t="s">
        <v>44</v>
      </c>
      <c r="D478" t="s">
        <v>65</v>
      </c>
      <c r="E478" t="s">
        <v>63</v>
      </c>
      <c r="F478" t="s">
        <v>22</v>
      </c>
      <c r="G478" t="s">
        <v>46</v>
      </c>
      <c r="H478" t="s">
        <v>108</v>
      </c>
      <c r="I478" t="s">
        <v>48</v>
      </c>
      <c r="J478" t="s">
        <v>94</v>
      </c>
      <c r="K478" t="s">
        <v>53</v>
      </c>
      <c r="L478">
        <v>20.11</v>
      </c>
      <c r="M478">
        <v>3</v>
      </c>
      <c r="N478" s="2">
        <v>0</v>
      </c>
      <c r="O478">
        <v>60.33</v>
      </c>
      <c r="P478">
        <v>0</v>
      </c>
      <c r="Q478">
        <f>Sheet1__3_1_1_1[[#This Row],[Gross_Revenue]]-Sheet1__3_1_1_1[[#This Row],[Discount_Amount]]</f>
        <v>60.33</v>
      </c>
      <c r="R478">
        <v>33.18</v>
      </c>
      <c r="S478">
        <f>Sheet1__3_1_1_1[[#This Row],[Net_Revenue]]-Sheet1__3_1_1_1[[#This Row],[COGS]]</f>
        <v>27.15</v>
      </c>
    </row>
    <row r="479" spans="1:19" x14ac:dyDescent="0.25">
      <c r="A479" t="s">
        <v>574</v>
      </c>
      <c r="B479" s="1">
        <v>45202</v>
      </c>
      <c r="C479" t="s">
        <v>99</v>
      </c>
      <c r="D479" t="s">
        <v>148</v>
      </c>
      <c r="E479" t="s">
        <v>21</v>
      </c>
      <c r="F479" t="s">
        <v>31</v>
      </c>
      <c r="G479" t="s">
        <v>122</v>
      </c>
      <c r="H479" t="s">
        <v>57</v>
      </c>
      <c r="I479" t="s">
        <v>25</v>
      </c>
      <c r="J479" t="s">
        <v>26</v>
      </c>
      <c r="K479" t="s">
        <v>27</v>
      </c>
      <c r="L479">
        <v>463.35</v>
      </c>
      <c r="M479">
        <v>3</v>
      </c>
      <c r="N479" s="2">
        <v>0</v>
      </c>
      <c r="O479">
        <v>1390.0500000000002</v>
      </c>
      <c r="P479">
        <v>0</v>
      </c>
      <c r="Q479">
        <f>Sheet1__3_1_1_1[[#This Row],[Gross_Revenue]]-Sheet1__3_1_1_1[[#This Row],[Discount_Amount]]</f>
        <v>1390.0500000000002</v>
      </c>
      <c r="R479">
        <v>667.22</v>
      </c>
      <c r="S479">
        <f>Sheet1__3_1_1_1[[#This Row],[Net_Revenue]]-Sheet1__3_1_1_1[[#This Row],[COGS]]</f>
        <v>722.83000000000015</v>
      </c>
    </row>
    <row r="480" spans="1:19" x14ac:dyDescent="0.25">
      <c r="A480" t="s">
        <v>575</v>
      </c>
      <c r="B480" s="1">
        <v>45239</v>
      </c>
      <c r="C480" t="s">
        <v>44</v>
      </c>
      <c r="D480" t="s">
        <v>45</v>
      </c>
      <c r="E480" t="s">
        <v>66</v>
      </c>
      <c r="F480" t="s">
        <v>79</v>
      </c>
      <c r="G480" t="s">
        <v>80</v>
      </c>
      <c r="H480" t="s">
        <v>106</v>
      </c>
      <c r="I480" t="s">
        <v>48</v>
      </c>
      <c r="J480" t="s">
        <v>26</v>
      </c>
      <c r="K480" t="s">
        <v>36</v>
      </c>
      <c r="L480">
        <v>513.41</v>
      </c>
      <c r="M480">
        <v>7</v>
      </c>
      <c r="N480" s="2">
        <v>0</v>
      </c>
      <c r="O480">
        <v>3593.87</v>
      </c>
      <c r="P480">
        <v>0</v>
      </c>
      <c r="Q480">
        <f>Sheet1__3_1_1_1[[#This Row],[Gross_Revenue]]-Sheet1__3_1_1_1[[#This Row],[Discount_Amount]]</f>
        <v>3593.87</v>
      </c>
      <c r="R480">
        <v>2228.1999999999998</v>
      </c>
      <c r="S480">
        <f>Sheet1__3_1_1_1[[#This Row],[Net_Revenue]]-Sheet1__3_1_1_1[[#This Row],[COGS]]</f>
        <v>1365.67</v>
      </c>
    </row>
    <row r="481" spans="1:19" x14ac:dyDescent="0.25">
      <c r="A481" t="s">
        <v>576</v>
      </c>
      <c r="B481" s="1">
        <v>45100</v>
      </c>
      <c r="C481" t="s">
        <v>29</v>
      </c>
      <c r="D481" t="s">
        <v>62</v>
      </c>
      <c r="E481" t="s">
        <v>63</v>
      </c>
      <c r="F481" t="s">
        <v>79</v>
      </c>
      <c r="G481" t="s">
        <v>56</v>
      </c>
      <c r="H481" t="s">
        <v>108</v>
      </c>
      <c r="I481" t="s">
        <v>42</v>
      </c>
      <c r="J481" t="s">
        <v>89</v>
      </c>
      <c r="K481" t="s">
        <v>27</v>
      </c>
      <c r="L481">
        <v>46.39</v>
      </c>
      <c r="M481">
        <v>4</v>
      </c>
      <c r="N481" s="2">
        <v>0.1</v>
      </c>
      <c r="O481">
        <v>185.56</v>
      </c>
      <c r="P481">
        <v>18.556000000000001</v>
      </c>
      <c r="Q481">
        <f>Sheet1__3_1_1_1[[#This Row],[Gross_Revenue]]-Sheet1__3_1_1_1[[#This Row],[Discount_Amount]]</f>
        <v>167.00399999999999</v>
      </c>
      <c r="R481">
        <v>103.54</v>
      </c>
      <c r="S481">
        <f>Sheet1__3_1_1_1[[#This Row],[Net_Revenue]]-Sheet1__3_1_1_1[[#This Row],[COGS]]</f>
        <v>63.463999999999984</v>
      </c>
    </row>
    <row r="482" spans="1:19" x14ac:dyDescent="0.25">
      <c r="A482" t="s">
        <v>577</v>
      </c>
      <c r="B482" s="1">
        <v>44614</v>
      </c>
      <c r="C482" t="s">
        <v>44</v>
      </c>
      <c r="D482" t="s">
        <v>45</v>
      </c>
      <c r="E482" t="s">
        <v>66</v>
      </c>
      <c r="F482" t="s">
        <v>31</v>
      </c>
      <c r="G482" t="s">
        <v>166</v>
      </c>
      <c r="H482" t="s">
        <v>87</v>
      </c>
      <c r="I482" t="s">
        <v>60</v>
      </c>
      <c r="J482" t="s">
        <v>94</v>
      </c>
      <c r="K482" t="s">
        <v>36</v>
      </c>
      <c r="L482">
        <v>297.24</v>
      </c>
      <c r="M482">
        <v>2</v>
      </c>
      <c r="N482" s="2">
        <v>0.15</v>
      </c>
      <c r="O482">
        <v>594.48</v>
      </c>
      <c r="P482">
        <v>89.171999999999997</v>
      </c>
      <c r="Q482">
        <f>Sheet1__3_1_1_1[[#This Row],[Gross_Revenue]]-Sheet1__3_1_1_1[[#This Row],[Discount_Amount]]</f>
        <v>505.30799999999999</v>
      </c>
      <c r="R482">
        <v>242.55</v>
      </c>
      <c r="S482">
        <f>Sheet1__3_1_1_1[[#This Row],[Net_Revenue]]-Sheet1__3_1_1_1[[#This Row],[COGS]]</f>
        <v>262.75799999999998</v>
      </c>
    </row>
    <row r="483" spans="1:19" x14ac:dyDescent="0.25">
      <c r="A483" t="s">
        <v>578</v>
      </c>
      <c r="B483" s="1">
        <v>44598</v>
      </c>
      <c r="C483" t="s">
        <v>44</v>
      </c>
      <c r="D483" t="s">
        <v>51</v>
      </c>
      <c r="E483" t="s">
        <v>21</v>
      </c>
      <c r="F483" t="s">
        <v>55</v>
      </c>
      <c r="G483" t="s">
        <v>67</v>
      </c>
      <c r="H483" t="s">
        <v>41</v>
      </c>
      <c r="I483" t="s">
        <v>60</v>
      </c>
      <c r="J483" t="s">
        <v>94</v>
      </c>
      <c r="K483" t="s">
        <v>143</v>
      </c>
      <c r="L483">
        <v>67.099999999999994</v>
      </c>
      <c r="M483">
        <v>2</v>
      </c>
      <c r="N483" s="2">
        <v>0.1</v>
      </c>
      <c r="O483">
        <v>134.19999999999999</v>
      </c>
      <c r="P483">
        <v>13.42</v>
      </c>
      <c r="Q483">
        <f>Sheet1__3_1_1_1[[#This Row],[Gross_Revenue]]-Sheet1__3_1_1_1[[#This Row],[Discount_Amount]]</f>
        <v>120.77999999999999</v>
      </c>
      <c r="R483">
        <v>50.73</v>
      </c>
      <c r="S483">
        <f>Sheet1__3_1_1_1[[#This Row],[Net_Revenue]]-Sheet1__3_1_1_1[[#This Row],[COGS]]</f>
        <v>70.049999999999983</v>
      </c>
    </row>
    <row r="484" spans="1:19" x14ac:dyDescent="0.25">
      <c r="A484" t="s">
        <v>579</v>
      </c>
      <c r="B484" s="1">
        <v>44723</v>
      </c>
      <c r="C484" t="s">
        <v>19</v>
      </c>
      <c r="D484" t="s">
        <v>91</v>
      </c>
      <c r="E484" t="s">
        <v>21</v>
      </c>
      <c r="F484" t="s">
        <v>22</v>
      </c>
      <c r="G484" t="s">
        <v>75</v>
      </c>
      <c r="H484" t="s">
        <v>59</v>
      </c>
      <c r="I484" t="s">
        <v>48</v>
      </c>
      <c r="J484" t="s">
        <v>89</v>
      </c>
      <c r="K484" t="s">
        <v>27</v>
      </c>
      <c r="L484">
        <v>10.1</v>
      </c>
      <c r="M484">
        <v>2</v>
      </c>
      <c r="N484" s="2">
        <v>0.1</v>
      </c>
      <c r="O484">
        <v>20.2</v>
      </c>
      <c r="P484">
        <v>2.02</v>
      </c>
      <c r="Q484">
        <f>Sheet1__3_1_1_1[[#This Row],[Gross_Revenue]]-Sheet1__3_1_1_1[[#This Row],[Discount_Amount]]</f>
        <v>18.18</v>
      </c>
      <c r="R484">
        <v>10</v>
      </c>
      <c r="S484">
        <f>Sheet1__3_1_1_1[[#This Row],[Net_Revenue]]-Sheet1__3_1_1_1[[#This Row],[COGS]]</f>
        <v>8.18</v>
      </c>
    </row>
    <row r="485" spans="1:19" x14ac:dyDescent="0.25">
      <c r="A485" t="s">
        <v>580</v>
      </c>
      <c r="B485" s="1">
        <v>44903</v>
      </c>
      <c r="C485" t="s">
        <v>19</v>
      </c>
      <c r="D485" t="s">
        <v>20</v>
      </c>
      <c r="E485" t="s">
        <v>66</v>
      </c>
      <c r="F485" t="s">
        <v>79</v>
      </c>
      <c r="G485" t="s">
        <v>85</v>
      </c>
      <c r="H485" t="s">
        <v>47</v>
      </c>
      <c r="I485" t="s">
        <v>60</v>
      </c>
      <c r="J485" t="s">
        <v>26</v>
      </c>
      <c r="K485" t="s">
        <v>27</v>
      </c>
      <c r="L485">
        <v>1057.47</v>
      </c>
      <c r="M485">
        <v>7</v>
      </c>
      <c r="N485" s="2">
        <v>0.2</v>
      </c>
      <c r="O485">
        <v>7402.29</v>
      </c>
      <c r="P485">
        <v>1480.4580000000001</v>
      </c>
      <c r="Q485">
        <f>Sheet1__3_1_1_1[[#This Row],[Gross_Revenue]]-Sheet1__3_1_1_1[[#This Row],[Discount_Amount]]</f>
        <v>5921.8320000000003</v>
      </c>
      <c r="R485">
        <v>3671.53</v>
      </c>
      <c r="S485">
        <f>Sheet1__3_1_1_1[[#This Row],[Net_Revenue]]-Sheet1__3_1_1_1[[#This Row],[COGS]]</f>
        <v>2250.3020000000001</v>
      </c>
    </row>
    <row r="486" spans="1:19" x14ac:dyDescent="0.25">
      <c r="A486" t="s">
        <v>581</v>
      </c>
      <c r="B486" s="1">
        <v>44714</v>
      </c>
      <c r="C486" t="s">
        <v>77</v>
      </c>
      <c r="D486" t="s">
        <v>82</v>
      </c>
      <c r="E486" t="s">
        <v>39</v>
      </c>
      <c r="F486" t="s">
        <v>31</v>
      </c>
      <c r="G486" t="s">
        <v>32</v>
      </c>
      <c r="H486" t="s">
        <v>108</v>
      </c>
      <c r="I486" t="s">
        <v>60</v>
      </c>
      <c r="J486" t="s">
        <v>89</v>
      </c>
      <c r="K486" t="s">
        <v>27</v>
      </c>
      <c r="L486">
        <v>432.82</v>
      </c>
      <c r="M486">
        <v>8</v>
      </c>
      <c r="N486" s="2">
        <v>0</v>
      </c>
      <c r="O486">
        <v>3462.56</v>
      </c>
      <c r="P486">
        <v>0</v>
      </c>
      <c r="Q486">
        <f>Sheet1__3_1_1_1[[#This Row],[Gross_Revenue]]-Sheet1__3_1_1_1[[#This Row],[Discount_Amount]]</f>
        <v>3462.56</v>
      </c>
      <c r="R486">
        <v>1662.03</v>
      </c>
      <c r="S486">
        <f>Sheet1__3_1_1_1[[#This Row],[Net_Revenue]]-Sheet1__3_1_1_1[[#This Row],[COGS]]</f>
        <v>1800.53</v>
      </c>
    </row>
    <row r="487" spans="1:19" x14ac:dyDescent="0.25">
      <c r="A487" t="s">
        <v>582</v>
      </c>
      <c r="B487" s="1">
        <v>44573</v>
      </c>
      <c r="C487" t="s">
        <v>29</v>
      </c>
      <c r="D487" t="s">
        <v>62</v>
      </c>
      <c r="E487" t="s">
        <v>39</v>
      </c>
      <c r="F487" t="s">
        <v>22</v>
      </c>
      <c r="G487" t="s">
        <v>46</v>
      </c>
      <c r="H487" t="s">
        <v>52</v>
      </c>
      <c r="I487" t="s">
        <v>42</v>
      </c>
      <c r="J487" t="s">
        <v>49</v>
      </c>
      <c r="K487" t="s">
        <v>36</v>
      </c>
      <c r="L487">
        <v>16.440000000000001</v>
      </c>
      <c r="M487">
        <v>1</v>
      </c>
      <c r="N487" s="2">
        <v>0.15</v>
      </c>
      <c r="O487">
        <v>16.440000000000001</v>
      </c>
      <c r="P487">
        <v>2.4660000000000002</v>
      </c>
      <c r="Q487">
        <f>Sheet1__3_1_1_1[[#This Row],[Gross_Revenue]]-Sheet1__3_1_1_1[[#This Row],[Discount_Amount]]</f>
        <v>13.974</v>
      </c>
      <c r="R487">
        <v>7.68</v>
      </c>
      <c r="S487">
        <f>Sheet1__3_1_1_1[[#This Row],[Net_Revenue]]-Sheet1__3_1_1_1[[#This Row],[COGS]]</f>
        <v>6.2940000000000005</v>
      </c>
    </row>
    <row r="488" spans="1:19" x14ac:dyDescent="0.25">
      <c r="A488" t="s">
        <v>583</v>
      </c>
      <c r="B488" s="1">
        <v>44734</v>
      </c>
      <c r="C488" t="s">
        <v>77</v>
      </c>
      <c r="D488" t="s">
        <v>82</v>
      </c>
      <c r="E488" t="s">
        <v>21</v>
      </c>
      <c r="F488" t="s">
        <v>79</v>
      </c>
      <c r="G488" t="s">
        <v>85</v>
      </c>
      <c r="H488" t="s">
        <v>87</v>
      </c>
      <c r="I488" t="s">
        <v>25</v>
      </c>
      <c r="J488" t="s">
        <v>89</v>
      </c>
      <c r="K488" t="s">
        <v>53</v>
      </c>
      <c r="L488">
        <v>971.73</v>
      </c>
      <c r="M488">
        <v>3</v>
      </c>
      <c r="N488" s="2">
        <v>0</v>
      </c>
      <c r="O488">
        <v>2915.19</v>
      </c>
      <c r="P488">
        <v>0</v>
      </c>
      <c r="Q488">
        <f>Sheet1__3_1_1_1[[#This Row],[Gross_Revenue]]-Sheet1__3_1_1_1[[#This Row],[Discount_Amount]]</f>
        <v>2915.19</v>
      </c>
      <c r="R488">
        <v>1807.42</v>
      </c>
      <c r="S488">
        <f>Sheet1__3_1_1_1[[#This Row],[Net_Revenue]]-Sheet1__3_1_1_1[[#This Row],[COGS]]</f>
        <v>1107.77</v>
      </c>
    </row>
    <row r="489" spans="1:19" x14ac:dyDescent="0.25">
      <c r="A489" t="s">
        <v>584</v>
      </c>
      <c r="B489" s="1">
        <v>44616</v>
      </c>
      <c r="C489" t="s">
        <v>44</v>
      </c>
      <c r="D489" t="s">
        <v>51</v>
      </c>
      <c r="E489" t="s">
        <v>66</v>
      </c>
      <c r="F489" t="s">
        <v>31</v>
      </c>
      <c r="G489" t="s">
        <v>166</v>
      </c>
      <c r="H489" t="s">
        <v>47</v>
      </c>
      <c r="I489" t="s">
        <v>34</v>
      </c>
      <c r="J489" t="s">
        <v>49</v>
      </c>
      <c r="K489" t="s">
        <v>143</v>
      </c>
      <c r="L489">
        <v>358.14</v>
      </c>
      <c r="M489">
        <v>5</v>
      </c>
      <c r="N489" s="2">
        <v>0.2</v>
      </c>
      <c r="O489">
        <v>1790.6999999999998</v>
      </c>
      <c r="P489">
        <v>358.14</v>
      </c>
      <c r="Q489">
        <f>Sheet1__3_1_1_1[[#This Row],[Gross_Revenue]]-Sheet1__3_1_1_1[[#This Row],[Discount_Amount]]</f>
        <v>1432.56</v>
      </c>
      <c r="R489">
        <v>687.63</v>
      </c>
      <c r="S489">
        <f>Sheet1__3_1_1_1[[#This Row],[Net_Revenue]]-Sheet1__3_1_1_1[[#This Row],[COGS]]</f>
        <v>744.93</v>
      </c>
    </row>
    <row r="490" spans="1:19" x14ac:dyDescent="0.25">
      <c r="A490" t="s">
        <v>585</v>
      </c>
      <c r="B490" s="1">
        <v>45123</v>
      </c>
      <c r="C490" t="s">
        <v>19</v>
      </c>
      <c r="D490" t="s">
        <v>130</v>
      </c>
      <c r="E490" t="s">
        <v>39</v>
      </c>
      <c r="F490" t="s">
        <v>22</v>
      </c>
      <c r="G490" t="s">
        <v>75</v>
      </c>
      <c r="H490" t="s">
        <v>71</v>
      </c>
      <c r="I490" t="s">
        <v>25</v>
      </c>
      <c r="J490" t="s">
        <v>89</v>
      </c>
      <c r="K490" t="s">
        <v>27</v>
      </c>
      <c r="L490">
        <v>8.9</v>
      </c>
      <c r="M490">
        <v>23</v>
      </c>
      <c r="N490" s="2">
        <v>0</v>
      </c>
      <c r="O490">
        <v>204.70000000000002</v>
      </c>
      <c r="P490">
        <v>0</v>
      </c>
      <c r="Q490">
        <f>Sheet1__3_1_1_1[[#This Row],[Gross_Revenue]]-Sheet1__3_1_1_1[[#This Row],[Discount_Amount]]</f>
        <v>204.70000000000002</v>
      </c>
      <c r="R490">
        <v>112.59</v>
      </c>
      <c r="S490">
        <f>Sheet1__3_1_1_1[[#This Row],[Net_Revenue]]-Sheet1__3_1_1_1[[#This Row],[COGS]]</f>
        <v>92.110000000000014</v>
      </c>
    </row>
    <row r="491" spans="1:19" x14ac:dyDescent="0.25">
      <c r="A491" t="s">
        <v>586</v>
      </c>
      <c r="B491" s="1">
        <v>44607</v>
      </c>
      <c r="C491" t="s">
        <v>44</v>
      </c>
      <c r="D491" t="s">
        <v>45</v>
      </c>
      <c r="E491" t="s">
        <v>63</v>
      </c>
      <c r="F491" t="s">
        <v>22</v>
      </c>
      <c r="G491" t="s">
        <v>113</v>
      </c>
      <c r="H491" t="s">
        <v>59</v>
      </c>
      <c r="I491" t="s">
        <v>34</v>
      </c>
      <c r="J491" t="s">
        <v>26</v>
      </c>
      <c r="K491" t="s">
        <v>36</v>
      </c>
      <c r="L491">
        <v>13.07</v>
      </c>
      <c r="M491">
        <v>15</v>
      </c>
      <c r="N491" s="2">
        <v>0.2</v>
      </c>
      <c r="O491">
        <v>196.05</v>
      </c>
      <c r="P491">
        <v>39.210000000000008</v>
      </c>
      <c r="Q491">
        <f>Sheet1__3_1_1_1[[#This Row],[Gross_Revenue]]-Sheet1__3_1_1_1[[#This Row],[Discount_Amount]]</f>
        <v>156.84</v>
      </c>
      <c r="R491">
        <v>86.26</v>
      </c>
      <c r="S491">
        <f>Sheet1__3_1_1_1[[#This Row],[Net_Revenue]]-Sheet1__3_1_1_1[[#This Row],[COGS]]</f>
        <v>70.58</v>
      </c>
    </row>
    <row r="492" spans="1:19" x14ac:dyDescent="0.25">
      <c r="A492" t="s">
        <v>587</v>
      </c>
      <c r="B492" s="1">
        <v>44816</v>
      </c>
      <c r="C492" t="s">
        <v>99</v>
      </c>
      <c r="D492" t="s">
        <v>100</v>
      </c>
      <c r="E492" t="s">
        <v>39</v>
      </c>
      <c r="F492" t="s">
        <v>79</v>
      </c>
      <c r="G492" t="s">
        <v>80</v>
      </c>
      <c r="H492" t="s">
        <v>59</v>
      </c>
      <c r="I492" t="s">
        <v>34</v>
      </c>
      <c r="J492" t="s">
        <v>49</v>
      </c>
      <c r="K492" t="s">
        <v>143</v>
      </c>
      <c r="L492">
        <v>541.91</v>
      </c>
      <c r="M492">
        <v>4</v>
      </c>
      <c r="N492" s="2">
        <v>0</v>
      </c>
      <c r="O492">
        <v>2167.64</v>
      </c>
      <c r="P492">
        <v>0</v>
      </c>
      <c r="Q492">
        <f>Sheet1__3_1_1_1[[#This Row],[Gross_Revenue]]-Sheet1__3_1_1_1[[#This Row],[Discount_Amount]]</f>
        <v>2167.64</v>
      </c>
      <c r="R492">
        <v>1343.94</v>
      </c>
      <c r="S492">
        <f>Sheet1__3_1_1_1[[#This Row],[Net_Revenue]]-Sheet1__3_1_1_1[[#This Row],[COGS]]</f>
        <v>823.69999999999982</v>
      </c>
    </row>
    <row r="493" spans="1:19" x14ac:dyDescent="0.25">
      <c r="A493" t="s">
        <v>588</v>
      </c>
      <c r="B493" s="1">
        <v>45010</v>
      </c>
      <c r="C493" t="s">
        <v>77</v>
      </c>
      <c r="D493" t="s">
        <v>78</v>
      </c>
      <c r="E493" t="s">
        <v>39</v>
      </c>
      <c r="F493" t="s">
        <v>79</v>
      </c>
      <c r="G493" t="s">
        <v>56</v>
      </c>
      <c r="H493" t="s">
        <v>57</v>
      </c>
      <c r="I493" t="s">
        <v>48</v>
      </c>
      <c r="J493" t="s">
        <v>35</v>
      </c>
      <c r="K493" t="s">
        <v>36</v>
      </c>
      <c r="L493">
        <v>52.59</v>
      </c>
      <c r="M493">
        <v>5</v>
      </c>
      <c r="N493" s="2">
        <v>0.15</v>
      </c>
      <c r="O493">
        <v>262.95000000000005</v>
      </c>
      <c r="P493">
        <v>39.442500000000003</v>
      </c>
      <c r="Q493">
        <f>Sheet1__3_1_1_1[[#This Row],[Gross_Revenue]]-Sheet1__3_1_1_1[[#This Row],[Discount_Amount]]</f>
        <v>223.50750000000005</v>
      </c>
      <c r="R493">
        <v>138.58000000000001</v>
      </c>
      <c r="S493">
        <f>Sheet1__3_1_1_1[[#This Row],[Net_Revenue]]-Sheet1__3_1_1_1[[#This Row],[COGS]]</f>
        <v>84.927500000000038</v>
      </c>
    </row>
    <row r="494" spans="1:19" x14ac:dyDescent="0.25">
      <c r="A494" t="s">
        <v>589</v>
      </c>
      <c r="B494" s="1">
        <v>44873</v>
      </c>
      <c r="C494" t="s">
        <v>29</v>
      </c>
      <c r="D494" t="s">
        <v>30</v>
      </c>
      <c r="E494" t="s">
        <v>63</v>
      </c>
      <c r="F494" t="s">
        <v>69</v>
      </c>
      <c r="G494" t="s">
        <v>190</v>
      </c>
      <c r="H494" t="s">
        <v>41</v>
      </c>
      <c r="I494" t="s">
        <v>25</v>
      </c>
      <c r="J494" t="s">
        <v>35</v>
      </c>
      <c r="K494" t="s">
        <v>36</v>
      </c>
      <c r="L494">
        <v>16.61</v>
      </c>
      <c r="M494">
        <v>1</v>
      </c>
      <c r="N494" s="2">
        <v>0</v>
      </c>
      <c r="O494">
        <v>16.61</v>
      </c>
      <c r="P494">
        <v>0</v>
      </c>
      <c r="Q494">
        <f>Sheet1__3_1_1_1[[#This Row],[Gross_Revenue]]-Sheet1__3_1_1_1[[#This Row],[Discount_Amount]]</f>
        <v>16.61</v>
      </c>
      <c r="R494">
        <v>6.31</v>
      </c>
      <c r="S494">
        <f>Sheet1__3_1_1_1[[#This Row],[Net_Revenue]]-Sheet1__3_1_1_1[[#This Row],[COGS]]</f>
        <v>10.3</v>
      </c>
    </row>
    <row r="495" spans="1:19" x14ac:dyDescent="0.25">
      <c r="A495" t="s">
        <v>590</v>
      </c>
      <c r="B495" s="1">
        <v>45097</v>
      </c>
      <c r="C495" t="s">
        <v>19</v>
      </c>
      <c r="D495" t="s">
        <v>91</v>
      </c>
      <c r="E495" t="s">
        <v>63</v>
      </c>
      <c r="F495" t="s">
        <v>79</v>
      </c>
      <c r="G495" t="s">
        <v>172</v>
      </c>
      <c r="H495" t="s">
        <v>33</v>
      </c>
      <c r="I495" t="s">
        <v>42</v>
      </c>
      <c r="J495" t="s">
        <v>89</v>
      </c>
      <c r="K495" t="s">
        <v>53</v>
      </c>
      <c r="L495">
        <v>428.8</v>
      </c>
      <c r="M495">
        <v>1</v>
      </c>
      <c r="N495" s="2">
        <v>0.2</v>
      </c>
      <c r="O495">
        <v>428.8</v>
      </c>
      <c r="P495">
        <v>85.76</v>
      </c>
      <c r="Q495">
        <f>Sheet1__3_1_1_1[[#This Row],[Gross_Revenue]]-Sheet1__3_1_1_1[[#This Row],[Discount_Amount]]</f>
        <v>343.04</v>
      </c>
      <c r="R495">
        <v>212.68</v>
      </c>
      <c r="S495">
        <f>Sheet1__3_1_1_1[[#This Row],[Net_Revenue]]-Sheet1__3_1_1_1[[#This Row],[COGS]]</f>
        <v>130.36000000000001</v>
      </c>
    </row>
    <row r="496" spans="1:19" x14ac:dyDescent="0.25">
      <c r="A496" t="s">
        <v>591</v>
      </c>
      <c r="B496" s="1">
        <v>45016</v>
      </c>
      <c r="C496" t="s">
        <v>29</v>
      </c>
      <c r="D496" t="s">
        <v>30</v>
      </c>
      <c r="E496" t="s">
        <v>63</v>
      </c>
      <c r="F496" t="s">
        <v>79</v>
      </c>
      <c r="G496" t="s">
        <v>172</v>
      </c>
      <c r="H496" t="s">
        <v>71</v>
      </c>
      <c r="I496" t="s">
        <v>60</v>
      </c>
      <c r="J496" t="s">
        <v>89</v>
      </c>
      <c r="K496" t="s">
        <v>143</v>
      </c>
      <c r="L496">
        <v>344.07</v>
      </c>
      <c r="M496">
        <v>6</v>
      </c>
      <c r="N496" s="2">
        <v>0.15</v>
      </c>
      <c r="O496">
        <v>2064.42</v>
      </c>
      <c r="P496">
        <v>309.66300000000001</v>
      </c>
      <c r="Q496">
        <f>Sheet1__3_1_1_1[[#This Row],[Gross_Revenue]]-Sheet1__3_1_1_1[[#This Row],[Discount_Amount]]</f>
        <v>1754.7570000000001</v>
      </c>
      <c r="R496">
        <v>1087.95</v>
      </c>
      <c r="S496">
        <f>Sheet1__3_1_1_1[[#This Row],[Net_Revenue]]-Sheet1__3_1_1_1[[#This Row],[COGS]]</f>
        <v>666.80700000000002</v>
      </c>
    </row>
    <row r="497" spans="1:19" x14ac:dyDescent="0.25">
      <c r="A497" t="s">
        <v>592</v>
      </c>
      <c r="B497" s="1">
        <v>44711</v>
      </c>
      <c r="C497" t="s">
        <v>29</v>
      </c>
      <c r="D497" t="s">
        <v>30</v>
      </c>
      <c r="E497" t="s">
        <v>39</v>
      </c>
      <c r="F497" t="s">
        <v>69</v>
      </c>
      <c r="G497" t="s">
        <v>101</v>
      </c>
      <c r="H497" t="s">
        <v>41</v>
      </c>
      <c r="I497" t="s">
        <v>25</v>
      </c>
      <c r="J497" t="s">
        <v>94</v>
      </c>
      <c r="K497" t="s">
        <v>143</v>
      </c>
      <c r="L497">
        <v>7.05</v>
      </c>
      <c r="M497">
        <v>10</v>
      </c>
      <c r="N497" s="2">
        <v>0</v>
      </c>
      <c r="O497">
        <v>70.5</v>
      </c>
      <c r="P497">
        <v>0</v>
      </c>
      <c r="Q497">
        <f>Sheet1__3_1_1_1[[#This Row],[Gross_Revenue]]-Sheet1__3_1_1_1[[#This Row],[Discount_Amount]]</f>
        <v>70.5</v>
      </c>
      <c r="R497">
        <v>26.79</v>
      </c>
      <c r="S497">
        <f>Sheet1__3_1_1_1[[#This Row],[Net_Revenue]]-Sheet1__3_1_1_1[[#This Row],[COGS]]</f>
        <v>43.71</v>
      </c>
    </row>
    <row r="498" spans="1:19" x14ac:dyDescent="0.25">
      <c r="A498" t="s">
        <v>593</v>
      </c>
      <c r="B498" s="1">
        <v>44859</v>
      </c>
      <c r="C498" t="s">
        <v>29</v>
      </c>
      <c r="D498" t="s">
        <v>30</v>
      </c>
      <c r="E498" t="s">
        <v>39</v>
      </c>
      <c r="F498" t="s">
        <v>55</v>
      </c>
      <c r="G498" t="s">
        <v>103</v>
      </c>
      <c r="H498" t="s">
        <v>47</v>
      </c>
      <c r="I498" t="s">
        <v>48</v>
      </c>
      <c r="J498" t="s">
        <v>89</v>
      </c>
      <c r="K498" t="s">
        <v>143</v>
      </c>
      <c r="L498" t="s">
        <v>1147</v>
      </c>
      <c r="M498">
        <v>1</v>
      </c>
      <c r="N498" s="2">
        <v>0.1</v>
      </c>
      <c r="O498">
        <v>0</v>
      </c>
      <c r="P498">
        <v>0</v>
      </c>
      <c r="Q498">
        <f>Sheet1__3_1_1_1[[#This Row],[Gross_Revenue]]-Sheet1__3_1_1_1[[#This Row],[Discount_Amount]]</f>
        <v>0</v>
      </c>
      <c r="R498" t="s">
        <v>1147</v>
      </c>
      <c r="S498" t="e">
        <f>Sheet1__3_1_1_1[[#This Row],[Net_Revenue]]-Sheet1__3_1_1_1[[#This Row],[COGS]]</f>
        <v>#VALUE!</v>
      </c>
    </row>
    <row r="499" spans="1:19" x14ac:dyDescent="0.25">
      <c r="A499" t="s">
        <v>594</v>
      </c>
      <c r="B499" s="1">
        <v>45127</v>
      </c>
      <c r="C499" t="s">
        <v>44</v>
      </c>
      <c r="D499" t="s">
        <v>45</v>
      </c>
      <c r="E499" t="s">
        <v>66</v>
      </c>
      <c r="F499" t="s">
        <v>55</v>
      </c>
      <c r="G499" t="s">
        <v>120</v>
      </c>
      <c r="H499" t="s">
        <v>59</v>
      </c>
      <c r="I499" t="s">
        <v>60</v>
      </c>
      <c r="J499" t="s">
        <v>89</v>
      </c>
      <c r="K499" t="s">
        <v>53</v>
      </c>
      <c r="L499">
        <v>131.16</v>
      </c>
      <c r="M499">
        <v>7</v>
      </c>
      <c r="N499" s="2">
        <v>0</v>
      </c>
      <c r="O499">
        <v>918.12</v>
      </c>
      <c r="P499">
        <v>0</v>
      </c>
      <c r="Q499">
        <f>Sheet1__3_1_1_1[[#This Row],[Gross_Revenue]]-Sheet1__3_1_1_1[[#This Row],[Discount_Amount]]</f>
        <v>918.12</v>
      </c>
      <c r="R499">
        <v>385.61</v>
      </c>
      <c r="S499">
        <f>Sheet1__3_1_1_1[[#This Row],[Net_Revenue]]-Sheet1__3_1_1_1[[#This Row],[COGS]]</f>
        <v>532.51</v>
      </c>
    </row>
    <row r="500" spans="1:19" x14ac:dyDescent="0.25">
      <c r="A500" t="s">
        <v>595</v>
      </c>
      <c r="B500" s="1">
        <v>45049</v>
      </c>
      <c r="C500" t="s">
        <v>29</v>
      </c>
      <c r="D500" t="s">
        <v>38</v>
      </c>
      <c r="E500" t="s">
        <v>63</v>
      </c>
      <c r="F500" t="s">
        <v>31</v>
      </c>
      <c r="G500" t="s">
        <v>166</v>
      </c>
      <c r="H500" t="s">
        <v>47</v>
      </c>
      <c r="I500" t="s">
        <v>25</v>
      </c>
      <c r="J500" t="s">
        <v>94</v>
      </c>
      <c r="K500" t="s">
        <v>27</v>
      </c>
      <c r="L500">
        <v>337.83</v>
      </c>
      <c r="M500">
        <v>2</v>
      </c>
      <c r="N500" s="2">
        <v>0.1</v>
      </c>
      <c r="O500">
        <v>675.66</v>
      </c>
      <c r="P500">
        <v>67.566000000000003</v>
      </c>
      <c r="Q500">
        <f>Sheet1__3_1_1_1[[#This Row],[Gross_Revenue]]-Sheet1__3_1_1_1[[#This Row],[Discount_Amount]]</f>
        <v>608.09399999999994</v>
      </c>
      <c r="R500">
        <v>291.88</v>
      </c>
      <c r="S500">
        <f>Sheet1__3_1_1_1[[#This Row],[Net_Revenue]]-Sheet1__3_1_1_1[[#This Row],[COGS]]</f>
        <v>316.21399999999994</v>
      </c>
    </row>
    <row r="501" spans="1:19" x14ac:dyDescent="0.25">
      <c r="A501" t="s">
        <v>596</v>
      </c>
      <c r="B501" s="1">
        <v>44738</v>
      </c>
      <c r="C501" t="s">
        <v>29</v>
      </c>
      <c r="D501" t="s">
        <v>30</v>
      </c>
      <c r="E501" t="s">
        <v>63</v>
      </c>
      <c r="F501" t="s">
        <v>22</v>
      </c>
      <c r="G501" t="s">
        <v>113</v>
      </c>
      <c r="H501" t="s">
        <v>106</v>
      </c>
      <c r="I501" t="s">
        <v>25</v>
      </c>
      <c r="J501" t="s">
        <v>35</v>
      </c>
      <c r="K501" t="s">
        <v>143</v>
      </c>
      <c r="L501">
        <v>13.17</v>
      </c>
      <c r="M501">
        <v>5</v>
      </c>
      <c r="N501" s="2">
        <v>0.1</v>
      </c>
      <c r="O501">
        <v>65.849999999999994</v>
      </c>
      <c r="P501">
        <v>6.585</v>
      </c>
      <c r="Q501">
        <f>Sheet1__3_1_1_1[[#This Row],[Gross_Revenue]]-Sheet1__3_1_1_1[[#This Row],[Discount_Amount]]</f>
        <v>59.264999999999993</v>
      </c>
      <c r="R501">
        <v>32.6</v>
      </c>
      <c r="S501">
        <f>Sheet1__3_1_1_1[[#This Row],[Net_Revenue]]-Sheet1__3_1_1_1[[#This Row],[COGS]]</f>
        <v>26.664999999999992</v>
      </c>
    </row>
    <row r="502" spans="1:19" x14ac:dyDescent="0.25">
      <c r="A502" t="s">
        <v>597</v>
      </c>
      <c r="B502" s="1">
        <v>45024</v>
      </c>
      <c r="C502" t="s">
        <v>19</v>
      </c>
      <c r="D502" t="s">
        <v>91</v>
      </c>
      <c r="E502" t="s">
        <v>66</v>
      </c>
      <c r="F502" t="s">
        <v>22</v>
      </c>
      <c r="G502" t="s">
        <v>46</v>
      </c>
      <c r="H502" t="s">
        <v>57</v>
      </c>
      <c r="I502" t="s">
        <v>34</v>
      </c>
      <c r="J502" t="s">
        <v>26</v>
      </c>
      <c r="K502" t="s">
        <v>36</v>
      </c>
      <c r="L502" t="s">
        <v>1147</v>
      </c>
      <c r="M502">
        <v>15</v>
      </c>
      <c r="N502" s="2">
        <v>0.1</v>
      </c>
      <c r="O502">
        <v>0</v>
      </c>
      <c r="P502">
        <v>0</v>
      </c>
      <c r="Q502">
        <f>Sheet1__3_1_1_1[[#This Row],[Gross_Revenue]]-Sheet1__3_1_1_1[[#This Row],[Discount_Amount]]</f>
        <v>0</v>
      </c>
      <c r="R502" t="s">
        <v>1147</v>
      </c>
      <c r="S502" t="e">
        <f>Sheet1__3_1_1_1[[#This Row],[Net_Revenue]]-Sheet1__3_1_1_1[[#This Row],[COGS]]</f>
        <v>#VALUE!</v>
      </c>
    </row>
    <row r="503" spans="1:19" x14ac:dyDescent="0.25">
      <c r="A503" t="s">
        <v>598</v>
      </c>
      <c r="B503" s="1">
        <v>45061</v>
      </c>
      <c r="C503" t="s">
        <v>29</v>
      </c>
      <c r="D503" t="s">
        <v>30</v>
      </c>
      <c r="E503" t="s">
        <v>66</v>
      </c>
      <c r="F503" t="s">
        <v>55</v>
      </c>
      <c r="G503" t="s">
        <v>83</v>
      </c>
      <c r="H503" t="s">
        <v>24</v>
      </c>
      <c r="I503" t="s">
        <v>42</v>
      </c>
      <c r="J503" t="s">
        <v>26</v>
      </c>
      <c r="K503" t="s">
        <v>36</v>
      </c>
      <c r="L503">
        <v>68.260000000000005</v>
      </c>
      <c r="M503">
        <v>6</v>
      </c>
      <c r="N503" s="2">
        <v>0.1</v>
      </c>
      <c r="O503">
        <v>409.56000000000006</v>
      </c>
      <c r="P503">
        <v>40.95600000000001</v>
      </c>
      <c r="Q503">
        <f>Sheet1__3_1_1_1[[#This Row],[Gross_Revenue]]-Sheet1__3_1_1_1[[#This Row],[Discount_Amount]]</f>
        <v>368.60400000000004</v>
      </c>
      <c r="R503">
        <v>154.81</v>
      </c>
      <c r="S503">
        <f>Sheet1__3_1_1_1[[#This Row],[Net_Revenue]]-Sheet1__3_1_1_1[[#This Row],[COGS]]</f>
        <v>213.79400000000004</v>
      </c>
    </row>
    <row r="504" spans="1:19" x14ac:dyDescent="0.25">
      <c r="A504" t="s">
        <v>599</v>
      </c>
      <c r="B504" s="1">
        <v>44716</v>
      </c>
      <c r="C504" t="s">
        <v>99</v>
      </c>
      <c r="D504" t="s">
        <v>132</v>
      </c>
      <c r="E504" t="s">
        <v>66</v>
      </c>
      <c r="F504" t="s">
        <v>69</v>
      </c>
      <c r="G504" t="s">
        <v>70</v>
      </c>
      <c r="H504" t="s">
        <v>33</v>
      </c>
      <c r="I504" t="s">
        <v>25</v>
      </c>
      <c r="J504" t="s">
        <v>35</v>
      </c>
      <c r="K504" t="s">
        <v>36</v>
      </c>
      <c r="L504">
        <v>371.7</v>
      </c>
      <c r="M504">
        <v>16</v>
      </c>
      <c r="N504" s="2">
        <v>0</v>
      </c>
      <c r="O504">
        <v>5947.2</v>
      </c>
      <c r="P504">
        <v>0</v>
      </c>
      <c r="Q504">
        <f>Sheet1__3_1_1_1[[#This Row],[Gross_Revenue]]-Sheet1__3_1_1_1[[#This Row],[Discount_Amount]]</f>
        <v>5947.2</v>
      </c>
      <c r="R504">
        <v>2259.94</v>
      </c>
      <c r="S504">
        <f>Sheet1__3_1_1_1[[#This Row],[Net_Revenue]]-Sheet1__3_1_1_1[[#This Row],[COGS]]</f>
        <v>3687.2599999999998</v>
      </c>
    </row>
    <row r="505" spans="1:19" x14ac:dyDescent="0.25">
      <c r="A505" t="s">
        <v>600</v>
      </c>
      <c r="B505" s="1">
        <v>44802</v>
      </c>
      <c r="C505" t="s">
        <v>19</v>
      </c>
      <c r="D505" t="s">
        <v>91</v>
      </c>
      <c r="E505" t="s">
        <v>21</v>
      </c>
      <c r="F505" t="s">
        <v>79</v>
      </c>
      <c r="G505" t="s">
        <v>56</v>
      </c>
      <c r="H505" t="s">
        <v>24</v>
      </c>
      <c r="I505" t="s">
        <v>34</v>
      </c>
      <c r="J505" t="s">
        <v>94</v>
      </c>
      <c r="K505" t="s">
        <v>36</v>
      </c>
      <c r="L505">
        <v>54.51</v>
      </c>
      <c r="M505">
        <v>1</v>
      </c>
      <c r="N505" s="2">
        <v>0</v>
      </c>
      <c r="O505">
        <v>54.51</v>
      </c>
      <c r="P505">
        <v>0</v>
      </c>
      <c r="Q505">
        <f>Sheet1__3_1_1_1[[#This Row],[Gross_Revenue]]-Sheet1__3_1_1_1[[#This Row],[Discount_Amount]]</f>
        <v>54.51</v>
      </c>
      <c r="R505">
        <v>33.799999999999997</v>
      </c>
      <c r="S505">
        <f>Sheet1__3_1_1_1[[#This Row],[Net_Revenue]]-Sheet1__3_1_1_1[[#This Row],[COGS]]</f>
        <v>20.71</v>
      </c>
    </row>
    <row r="506" spans="1:19" x14ac:dyDescent="0.25">
      <c r="A506" t="s">
        <v>601</v>
      </c>
      <c r="B506" s="1">
        <v>45253</v>
      </c>
      <c r="C506" t="s">
        <v>77</v>
      </c>
      <c r="D506" t="s">
        <v>78</v>
      </c>
      <c r="E506" t="s">
        <v>21</v>
      </c>
      <c r="F506" t="s">
        <v>69</v>
      </c>
      <c r="G506" t="s">
        <v>70</v>
      </c>
      <c r="H506" t="s">
        <v>59</v>
      </c>
      <c r="I506" t="s">
        <v>25</v>
      </c>
      <c r="J506" t="s">
        <v>49</v>
      </c>
      <c r="K506" t="s">
        <v>36</v>
      </c>
      <c r="L506">
        <v>286.68</v>
      </c>
      <c r="M506">
        <v>30</v>
      </c>
      <c r="N506" s="2">
        <v>0</v>
      </c>
      <c r="O506">
        <v>8600.4</v>
      </c>
      <c r="P506">
        <v>0</v>
      </c>
      <c r="Q506">
        <f>Sheet1__3_1_1_1[[#This Row],[Gross_Revenue]]-Sheet1__3_1_1_1[[#This Row],[Discount_Amount]]</f>
        <v>8600.4</v>
      </c>
      <c r="R506">
        <v>3268.15</v>
      </c>
      <c r="S506">
        <f>Sheet1__3_1_1_1[[#This Row],[Net_Revenue]]-Sheet1__3_1_1_1[[#This Row],[COGS]]</f>
        <v>5332.25</v>
      </c>
    </row>
    <row r="507" spans="1:19" x14ac:dyDescent="0.25">
      <c r="A507" t="s">
        <v>602</v>
      </c>
      <c r="B507" s="1">
        <v>45175</v>
      </c>
      <c r="C507" t="s">
        <v>77</v>
      </c>
      <c r="D507" t="s">
        <v>110</v>
      </c>
      <c r="E507" t="s">
        <v>21</v>
      </c>
      <c r="F507" t="s">
        <v>31</v>
      </c>
      <c r="G507" t="s">
        <v>40</v>
      </c>
      <c r="H507" t="s">
        <v>33</v>
      </c>
      <c r="I507" t="s">
        <v>48</v>
      </c>
      <c r="J507" t="s">
        <v>35</v>
      </c>
      <c r="K507" t="s">
        <v>27</v>
      </c>
      <c r="L507">
        <v>256.48</v>
      </c>
      <c r="M507">
        <v>6</v>
      </c>
      <c r="N507" s="2">
        <v>0</v>
      </c>
      <c r="O507">
        <v>1538.88</v>
      </c>
      <c r="P507">
        <v>0</v>
      </c>
      <c r="Q507">
        <f>Sheet1__3_1_1_1[[#This Row],[Gross_Revenue]]-Sheet1__3_1_1_1[[#This Row],[Discount_Amount]]</f>
        <v>1538.88</v>
      </c>
      <c r="R507">
        <v>738.66</v>
      </c>
      <c r="S507">
        <f>Sheet1__3_1_1_1[[#This Row],[Net_Revenue]]-Sheet1__3_1_1_1[[#This Row],[COGS]]</f>
        <v>800.22000000000014</v>
      </c>
    </row>
    <row r="508" spans="1:19" x14ac:dyDescent="0.25">
      <c r="A508" t="s">
        <v>603</v>
      </c>
      <c r="B508" s="1">
        <v>44657</v>
      </c>
      <c r="C508" t="s">
        <v>19</v>
      </c>
      <c r="D508" t="s">
        <v>91</v>
      </c>
      <c r="E508" t="s">
        <v>66</v>
      </c>
      <c r="F508" t="s">
        <v>22</v>
      </c>
      <c r="G508" t="s">
        <v>149</v>
      </c>
      <c r="H508" t="s">
        <v>24</v>
      </c>
      <c r="I508" t="s">
        <v>42</v>
      </c>
      <c r="J508" t="s">
        <v>89</v>
      </c>
      <c r="K508" t="s">
        <v>27</v>
      </c>
      <c r="L508">
        <v>19.09</v>
      </c>
      <c r="M508">
        <v>23</v>
      </c>
      <c r="N508" s="2">
        <v>0</v>
      </c>
      <c r="O508">
        <v>439.07</v>
      </c>
      <c r="P508">
        <v>0</v>
      </c>
      <c r="Q508">
        <f>Sheet1__3_1_1_1[[#This Row],[Gross_Revenue]]-Sheet1__3_1_1_1[[#This Row],[Discount_Amount]]</f>
        <v>439.07</v>
      </c>
      <c r="R508">
        <v>241.49</v>
      </c>
      <c r="S508">
        <f>Sheet1__3_1_1_1[[#This Row],[Net_Revenue]]-Sheet1__3_1_1_1[[#This Row],[COGS]]</f>
        <v>197.57999999999998</v>
      </c>
    </row>
    <row r="509" spans="1:19" x14ac:dyDescent="0.25">
      <c r="A509" t="s">
        <v>604</v>
      </c>
      <c r="B509" s="1">
        <v>45212</v>
      </c>
      <c r="C509" t="s">
        <v>99</v>
      </c>
      <c r="D509" t="s">
        <v>132</v>
      </c>
      <c r="E509" t="s">
        <v>21</v>
      </c>
      <c r="F509" t="s">
        <v>55</v>
      </c>
      <c r="G509" t="s">
        <v>120</v>
      </c>
      <c r="H509" t="s">
        <v>59</v>
      </c>
      <c r="I509" t="s">
        <v>60</v>
      </c>
      <c r="J509" t="s">
        <v>94</v>
      </c>
      <c r="K509" t="s">
        <v>53</v>
      </c>
      <c r="L509">
        <v>112.75</v>
      </c>
      <c r="M509">
        <v>5</v>
      </c>
      <c r="N509" s="2">
        <v>0</v>
      </c>
      <c r="O509">
        <v>563.75</v>
      </c>
      <c r="P509">
        <v>0</v>
      </c>
      <c r="Q509">
        <f>Sheet1__3_1_1_1[[#This Row],[Gross_Revenue]]-Sheet1__3_1_1_1[[#This Row],[Discount_Amount]]</f>
        <v>563.75</v>
      </c>
      <c r="R509">
        <v>236.77</v>
      </c>
      <c r="S509">
        <f>Sheet1__3_1_1_1[[#This Row],[Net_Revenue]]-Sheet1__3_1_1_1[[#This Row],[COGS]]</f>
        <v>326.98</v>
      </c>
    </row>
    <row r="510" spans="1:19" x14ac:dyDescent="0.25">
      <c r="A510" t="s">
        <v>605</v>
      </c>
      <c r="B510" s="1">
        <v>45126</v>
      </c>
      <c r="C510" t="s">
        <v>44</v>
      </c>
      <c r="D510" t="s">
        <v>51</v>
      </c>
      <c r="E510" t="s">
        <v>63</v>
      </c>
      <c r="F510" t="s">
        <v>31</v>
      </c>
      <c r="G510" t="s">
        <v>40</v>
      </c>
      <c r="H510" t="s">
        <v>71</v>
      </c>
      <c r="I510" t="s">
        <v>42</v>
      </c>
      <c r="J510" t="s">
        <v>89</v>
      </c>
      <c r="K510" t="s">
        <v>36</v>
      </c>
      <c r="L510">
        <v>210.92</v>
      </c>
      <c r="M510">
        <v>5</v>
      </c>
      <c r="N510" s="2">
        <v>0.15</v>
      </c>
      <c r="O510">
        <v>1054.5999999999999</v>
      </c>
      <c r="P510">
        <v>158.18999999999997</v>
      </c>
      <c r="Q510">
        <f>Sheet1__3_1_1_1[[#This Row],[Gross_Revenue]]-Sheet1__3_1_1_1[[#This Row],[Discount_Amount]]</f>
        <v>896.41</v>
      </c>
      <c r="R510">
        <v>430.28</v>
      </c>
      <c r="S510">
        <f>Sheet1__3_1_1_1[[#This Row],[Net_Revenue]]-Sheet1__3_1_1_1[[#This Row],[COGS]]</f>
        <v>466.13</v>
      </c>
    </row>
    <row r="511" spans="1:19" x14ac:dyDescent="0.25">
      <c r="A511" t="s">
        <v>606</v>
      </c>
      <c r="B511" s="1">
        <v>44927</v>
      </c>
      <c r="C511" t="s">
        <v>44</v>
      </c>
      <c r="D511" t="s">
        <v>65</v>
      </c>
      <c r="E511" t="s">
        <v>63</v>
      </c>
      <c r="F511" t="s">
        <v>79</v>
      </c>
      <c r="G511" t="s">
        <v>80</v>
      </c>
      <c r="H511" t="s">
        <v>71</v>
      </c>
      <c r="I511" t="s">
        <v>42</v>
      </c>
      <c r="J511" t="s">
        <v>49</v>
      </c>
      <c r="K511" t="s">
        <v>36</v>
      </c>
      <c r="L511">
        <v>747.16</v>
      </c>
      <c r="M511">
        <v>1</v>
      </c>
      <c r="N511" s="2">
        <v>0.2</v>
      </c>
      <c r="O511">
        <v>747.16</v>
      </c>
      <c r="P511">
        <v>149.43199999999999</v>
      </c>
      <c r="Q511">
        <f>Sheet1__3_1_1_1[[#This Row],[Gross_Revenue]]-Sheet1__3_1_1_1[[#This Row],[Discount_Amount]]</f>
        <v>597.72799999999995</v>
      </c>
      <c r="R511">
        <v>370.59</v>
      </c>
      <c r="S511">
        <f>Sheet1__3_1_1_1[[#This Row],[Net_Revenue]]-Sheet1__3_1_1_1[[#This Row],[COGS]]</f>
        <v>227.13799999999998</v>
      </c>
    </row>
    <row r="512" spans="1:19" x14ac:dyDescent="0.25">
      <c r="A512" t="s">
        <v>607</v>
      </c>
      <c r="B512" s="1">
        <v>44773</v>
      </c>
      <c r="C512" t="s">
        <v>44</v>
      </c>
      <c r="D512" t="s">
        <v>65</v>
      </c>
      <c r="E512" t="s">
        <v>63</v>
      </c>
      <c r="F512" t="s">
        <v>69</v>
      </c>
      <c r="G512" t="s">
        <v>126</v>
      </c>
      <c r="H512" t="s">
        <v>106</v>
      </c>
      <c r="I512" t="s">
        <v>60</v>
      </c>
      <c r="J512" t="s">
        <v>94</v>
      </c>
      <c r="K512" t="s">
        <v>36</v>
      </c>
      <c r="L512">
        <v>24.15</v>
      </c>
      <c r="M512">
        <v>9</v>
      </c>
      <c r="N512" s="2">
        <v>0</v>
      </c>
      <c r="O512">
        <v>217.35</v>
      </c>
      <c r="P512">
        <v>0</v>
      </c>
      <c r="Q512">
        <f>Sheet1__3_1_1_1[[#This Row],[Gross_Revenue]]-Sheet1__3_1_1_1[[#This Row],[Discount_Amount]]</f>
        <v>217.35</v>
      </c>
      <c r="R512">
        <v>82.59</v>
      </c>
      <c r="S512">
        <f>Sheet1__3_1_1_1[[#This Row],[Net_Revenue]]-Sheet1__3_1_1_1[[#This Row],[COGS]]</f>
        <v>134.76</v>
      </c>
    </row>
    <row r="513" spans="1:19" x14ac:dyDescent="0.25">
      <c r="A513" t="s">
        <v>608</v>
      </c>
      <c r="B513" s="1">
        <v>44944</v>
      </c>
      <c r="C513" t="s">
        <v>29</v>
      </c>
      <c r="D513" t="s">
        <v>30</v>
      </c>
      <c r="E513" t="s">
        <v>21</v>
      </c>
      <c r="F513" t="s">
        <v>22</v>
      </c>
      <c r="G513" t="s">
        <v>23</v>
      </c>
      <c r="H513" t="s">
        <v>111</v>
      </c>
      <c r="I513" t="s">
        <v>34</v>
      </c>
      <c r="J513" t="s">
        <v>35</v>
      </c>
      <c r="K513" t="s">
        <v>36</v>
      </c>
      <c r="L513">
        <v>14.62</v>
      </c>
      <c r="M513">
        <v>4</v>
      </c>
      <c r="N513" s="2">
        <v>0.05</v>
      </c>
      <c r="O513">
        <v>58.48</v>
      </c>
      <c r="P513">
        <v>2.9239999999999999</v>
      </c>
      <c r="Q513">
        <f>Sheet1__3_1_1_1[[#This Row],[Gross_Revenue]]-Sheet1__3_1_1_1[[#This Row],[Discount_Amount]]</f>
        <v>55.555999999999997</v>
      </c>
      <c r="R513">
        <v>30.56</v>
      </c>
      <c r="S513">
        <f>Sheet1__3_1_1_1[[#This Row],[Net_Revenue]]-Sheet1__3_1_1_1[[#This Row],[COGS]]</f>
        <v>24.995999999999999</v>
      </c>
    </row>
    <row r="514" spans="1:19" x14ac:dyDescent="0.25">
      <c r="A514" t="s">
        <v>609</v>
      </c>
      <c r="B514" s="1">
        <v>44725</v>
      </c>
      <c r="C514" t="s">
        <v>77</v>
      </c>
      <c r="D514" t="s">
        <v>110</v>
      </c>
      <c r="E514" t="s">
        <v>66</v>
      </c>
      <c r="F514" t="s">
        <v>55</v>
      </c>
      <c r="G514" t="s">
        <v>83</v>
      </c>
      <c r="H514" t="s">
        <v>57</v>
      </c>
      <c r="I514" t="s">
        <v>42</v>
      </c>
      <c r="J514" t="s">
        <v>89</v>
      </c>
      <c r="K514" t="s">
        <v>143</v>
      </c>
      <c r="L514">
        <v>50.32</v>
      </c>
      <c r="M514">
        <v>3</v>
      </c>
      <c r="N514" s="2">
        <v>0</v>
      </c>
      <c r="O514">
        <v>150.96</v>
      </c>
      <c r="P514">
        <v>0</v>
      </c>
      <c r="Q514">
        <f>Sheet1__3_1_1_1[[#This Row],[Gross_Revenue]]-Sheet1__3_1_1_1[[#This Row],[Discount_Amount]]</f>
        <v>150.96</v>
      </c>
      <c r="R514">
        <v>63.4</v>
      </c>
      <c r="S514">
        <f>Sheet1__3_1_1_1[[#This Row],[Net_Revenue]]-Sheet1__3_1_1_1[[#This Row],[COGS]]</f>
        <v>87.56</v>
      </c>
    </row>
    <row r="515" spans="1:19" x14ac:dyDescent="0.25">
      <c r="A515" t="s">
        <v>610</v>
      </c>
      <c r="B515" s="1">
        <v>45048</v>
      </c>
      <c r="C515" t="s">
        <v>44</v>
      </c>
      <c r="D515" t="s">
        <v>65</v>
      </c>
      <c r="E515" t="s">
        <v>39</v>
      </c>
      <c r="F515" t="s">
        <v>55</v>
      </c>
      <c r="G515" t="s">
        <v>103</v>
      </c>
      <c r="H515" t="s">
        <v>52</v>
      </c>
      <c r="I515" t="s">
        <v>48</v>
      </c>
      <c r="J515" t="s">
        <v>35</v>
      </c>
      <c r="K515" t="s">
        <v>143</v>
      </c>
      <c r="L515">
        <v>167.64</v>
      </c>
      <c r="N515" s="2">
        <v>0</v>
      </c>
      <c r="O515">
        <v>0</v>
      </c>
      <c r="P515">
        <v>0</v>
      </c>
      <c r="Q515">
        <f>Sheet1__3_1_1_1[[#This Row],[Gross_Revenue]]-Sheet1__3_1_1_1[[#This Row],[Discount_Amount]]</f>
        <v>0</v>
      </c>
      <c r="R515" t="s">
        <v>1147</v>
      </c>
      <c r="S515" t="e">
        <f>Sheet1__3_1_1_1[[#This Row],[Net_Revenue]]-Sheet1__3_1_1_1[[#This Row],[COGS]]</f>
        <v>#VALUE!</v>
      </c>
    </row>
    <row r="516" spans="1:19" x14ac:dyDescent="0.25">
      <c r="A516" t="s">
        <v>611</v>
      </c>
      <c r="B516" s="1">
        <v>44887</v>
      </c>
      <c r="C516" t="s">
        <v>44</v>
      </c>
      <c r="D516" t="s">
        <v>51</v>
      </c>
      <c r="E516" t="s">
        <v>39</v>
      </c>
      <c r="F516" t="s">
        <v>22</v>
      </c>
      <c r="G516" t="s">
        <v>149</v>
      </c>
      <c r="H516" t="s">
        <v>52</v>
      </c>
      <c r="I516" t="s">
        <v>42</v>
      </c>
      <c r="J516" t="s">
        <v>94</v>
      </c>
      <c r="K516" t="s">
        <v>36</v>
      </c>
      <c r="L516">
        <v>21.95</v>
      </c>
      <c r="M516">
        <v>12</v>
      </c>
      <c r="N516" s="2">
        <v>0</v>
      </c>
      <c r="O516">
        <v>263.39999999999998</v>
      </c>
      <c r="P516">
        <v>0</v>
      </c>
      <c r="Q516">
        <f>Sheet1__3_1_1_1[[#This Row],[Gross_Revenue]]-Sheet1__3_1_1_1[[#This Row],[Discount_Amount]]</f>
        <v>263.39999999999998</v>
      </c>
      <c r="R516">
        <v>144.87</v>
      </c>
      <c r="S516">
        <f>Sheet1__3_1_1_1[[#This Row],[Net_Revenue]]-Sheet1__3_1_1_1[[#This Row],[COGS]]</f>
        <v>118.52999999999997</v>
      </c>
    </row>
    <row r="517" spans="1:19" x14ac:dyDescent="0.25">
      <c r="A517" t="s">
        <v>612</v>
      </c>
      <c r="B517" s="1">
        <v>44566</v>
      </c>
      <c r="C517" t="s">
        <v>77</v>
      </c>
      <c r="D517" t="s">
        <v>78</v>
      </c>
      <c r="E517" t="s">
        <v>21</v>
      </c>
      <c r="F517" t="s">
        <v>31</v>
      </c>
      <c r="G517" t="s">
        <v>166</v>
      </c>
      <c r="H517" t="s">
        <v>111</v>
      </c>
      <c r="I517" t="s">
        <v>48</v>
      </c>
      <c r="J517" t="s">
        <v>89</v>
      </c>
      <c r="K517" t="s">
        <v>36</v>
      </c>
      <c r="L517">
        <v>321.29000000000002</v>
      </c>
      <c r="M517">
        <v>2</v>
      </c>
      <c r="N517" s="2">
        <v>0.05</v>
      </c>
      <c r="O517">
        <v>642.58000000000004</v>
      </c>
      <c r="P517">
        <v>32.129000000000005</v>
      </c>
      <c r="Q517">
        <f>Sheet1__3_1_1_1[[#This Row],[Gross_Revenue]]-Sheet1__3_1_1_1[[#This Row],[Discount_Amount]]</f>
        <v>610.45100000000002</v>
      </c>
      <c r="R517">
        <v>293.02</v>
      </c>
      <c r="S517">
        <f>Sheet1__3_1_1_1[[#This Row],[Net_Revenue]]-Sheet1__3_1_1_1[[#This Row],[COGS]]</f>
        <v>317.43100000000004</v>
      </c>
    </row>
    <row r="518" spans="1:19" x14ac:dyDescent="0.25">
      <c r="A518" t="s">
        <v>613</v>
      </c>
      <c r="B518" s="1">
        <v>44990</v>
      </c>
      <c r="C518" t="s">
        <v>99</v>
      </c>
      <c r="D518" t="s">
        <v>132</v>
      </c>
      <c r="E518" t="s">
        <v>39</v>
      </c>
      <c r="F518" t="s">
        <v>69</v>
      </c>
      <c r="G518" t="s">
        <v>73</v>
      </c>
      <c r="H518" t="s">
        <v>87</v>
      </c>
      <c r="I518" t="s">
        <v>42</v>
      </c>
      <c r="J518" t="s">
        <v>35</v>
      </c>
      <c r="K518" t="s">
        <v>36</v>
      </c>
      <c r="L518">
        <v>14.98</v>
      </c>
      <c r="M518">
        <v>15</v>
      </c>
      <c r="N518" s="2">
        <v>0.05</v>
      </c>
      <c r="O518">
        <v>224.70000000000002</v>
      </c>
      <c r="P518">
        <v>11.235000000000001</v>
      </c>
      <c r="Q518">
        <f>Sheet1__3_1_1_1[[#This Row],[Gross_Revenue]]-Sheet1__3_1_1_1[[#This Row],[Discount_Amount]]</f>
        <v>213.465</v>
      </c>
      <c r="R518">
        <v>81.12</v>
      </c>
      <c r="S518">
        <f>Sheet1__3_1_1_1[[#This Row],[Net_Revenue]]-Sheet1__3_1_1_1[[#This Row],[COGS]]</f>
        <v>132.345</v>
      </c>
    </row>
    <row r="519" spans="1:19" x14ac:dyDescent="0.25">
      <c r="A519" t="s">
        <v>614</v>
      </c>
      <c r="B519" s="1">
        <v>44617</v>
      </c>
      <c r="C519" t="s">
        <v>99</v>
      </c>
      <c r="D519" t="s">
        <v>148</v>
      </c>
      <c r="E519" t="s">
        <v>21</v>
      </c>
      <c r="F519" t="s">
        <v>69</v>
      </c>
      <c r="G519" t="s">
        <v>73</v>
      </c>
      <c r="H519" t="s">
        <v>33</v>
      </c>
      <c r="I519" t="s">
        <v>48</v>
      </c>
      <c r="J519" t="s">
        <v>94</v>
      </c>
      <c r="K519" t="s">
        <v>143</v>
      </c>
      <c r="L519">
        <v>13.64</v>
      </c>
      <c r="M519">
        <v>4</v>
      </c>
      <c r="N519" s="2">
        <v>0</v>
      </c>
      <c r="O519">
        <v>54.56</v>
      </c>
      <c r="P519">
        <v>0</v>
      </c>
      <c r="Q519">
        <f>Sheet1__3_1_1_1[[#This Row],[Gross_Revenue]]-Sheet1__3_1_1_1[[#This Row],[Discount_Amount]]</f>
        <v>54.56</v>
      </c>
      <c r="R519">
        <v>20.73</v>
      </c>
      <c r="S519">
        <f>Sheet1__3_1_1_1[[#This Row],[Net_Revenue]]-Sheet1__3_1_1_1[[#This Row],[COGS]]</f>
        <v>33.83</v>
      </c>
    </row>
    <row r="520" spans="1:19" x14ac:dyDescent="0.25">
      <c r="A520" t="s">
        <v>615</v>
      </c>
      <c r="B520" s="1">
        <v>44636</v>
      </c>
      <c r="C520" t="s">
        <v>99</v>
      </c>
      <c r="D520" t="s">
        <v>148</v>
      </c>
      <c r="E520" t="s">
        <v>39</v>
      </c>
      <c r="F520" t="s">
        <v>31</v>
      </c>
      <c r="G520" t="s">
        <v>122</v>
      </c>
      <c r="H520" t="s">
        <v>52</v>
      </c>
      <c r="I520" t="s">
        <v>48</v>
      </c>
      <c r="J520" t="s">
        <v>49</v>
      </c>
      <c r="K520" t="s">
        <v>36</v>
      </c>
      <c r="L520" t="s">
        <v>1147</v>
      </c>
      <c r="M520">
        <v>2</v>
      </c>
      <c r="N520" s="2">
        <v>0</v>
      </c>
      <c r="O520">
        <v>0</v>
      </c>
      <c r="P520">
        <v>0</v>
      </c>
      <c r="Q520">
        <f>Sheet1__3_1_1_1[[#This Row],[Gross_Revenue]]-Sheet1__3_1_1_1[[#This Row],[Discount_Amount]]</f>
        <v>0</v>
      </c>
      <c r="R520" t="s">
        <v>1147</v>
      </c>
      <c r="S520" t="e">
        <f>Sheet1__3_1_1_1[[#This Row],[Net_Revenue]]-Sheet1__3_1_1_1[[#This Row],[COGS]]</f>
        <v>#VALUE!</v>
      </c>
    </row>
    <row r="521" spans="1:19" x14ac:dyDescent="0.25">
      <c r="A521" t="s">
        <v>616</v>
      </c>
      <c r="B521" s="1">
        <v>45002</v>
      </c>
      <c r="C521" t="s">
        <v>44</v>
      </c>
      <c r="D521" t="s">
        <v>45</v>
      </c>
      <c r="E521" t="s">
        <v>66</v>
      </c>
      <c r="F521" t="s">
        <v>22</v>
      </c>
      <c r="G521" t="s">
        <v>75</v>
      </c>
      <c r="H521" t="s">
        <v>41</v>
      </c>
      <c r="I521" t="s">
        <v>34</v>
      </c>
      <c r="J521" t="s">
        <v>26</v>
      </c>
      <c r="K521" t="s">
        <v>36</v>
      </c>
      <c r="L521">
        <v>8.9700000000000006</v>
      </c>
      <c r="M521">
        <v>9</v>
      </c>
      <c r="N521" s="2">
        <v>0.05</v>
      </c>
      <c r="O521">
        <v>80.73</v>
      </c>
      <c r="P521">
        <v>4.0365000000000002</v>
      </c>
      <c r="Q521">
        <f>Sheet1__3_1_1_1[[#This Row],[Gross_Revenue]]-Sheet1__3_1_1_1[[#This Row],[Discount_Amount]]</f>
        <v>76.6935</v>
      </c>
      <c r="R521">
        <v>42.18</v>
      </c>
      <c r="S521">
        <f>Sheet1__3_1_1_1[[#This Row],[Net_Revenue]]-Sheet1__3_1_1_1[[#This Row],[COGS]]</f>
        <v>34.513500000000001</v>
      </c>
    </row>
    <row r="522" spans="1:19" x14ac:dyDescent="0.25">
      <c r="A522" t="s">
        <v>617</v>
      </c>
      <c r="B522" s="1">
        <v>45049</v>
      </c>
      <c r="C522" t="s">
        <v>19</v>
      </c>
      <c r="D522" t="s">
        <v>20</v>
      </c>
      <c r="E522" t="s">
        <v>66</v>
      </c>
      <c r="F522" t="s">
        <v>69</v>
      </c>
      <c r="G522" t="s">
        <v>73</v>
      </c>
      <c r="H522" t="s">
        <v>41</v>
      </c>
      <c r="I522" t="s">
        <v>60</v>
      </c>
      <c r="J522" t="s">
        <v>35</v>
      </c>
      <c r="K522" t="s">
        <v>36</v>
      </c>
      <c r="L522">
        <v>13.6</v>
      </c>
      <c r="M522">
        <v>20</v>
      </c>
      <c r="N522" s="2">
        <v>0</v>
      </c>
      <c r="O522">
        <v>272</v>
      </c>
      <c r="P522">
        <v>0</v>
      </c>
      <c r="Q522">
        <f>Sheet1__3_1_1_1[[#This Row],[Gross_Revenue]]-Sheet1__3_1_1_1[[#This Row],[Discount_Amount]]</f>
        <v>272</v>
      </c>
      <c r="R522">
        <v>103.36</v>
      </c>
      <c r="S522">
        <f>Sheet1__3_1_1_1[[#This Row],[Net_Revenue]]-Sheet1__3_1_1_1[[#This Row],[COGS]]</f>
        <v>168.64</v>
      </c>
    </row>
    <row r="523" spans="1:19" x14ac:dyDescent="0.25">
      <c r="A523" t="s">
        <v>618</v>
      </c>
      <c r="B523" s="1">
        <v>44879</v>
      </c>
      <c r="C523" t="s">
        <v>77</v>
      </c>
      <c r="D523" t="s">
        <v>78</v>
      </c>
      <c r="E523" t="s">
        <v>21</v>
      </c>
      <c r="F523" t="s">
        <v>22</v>
      </c>
      <c r="G523" t="s">
        <v>113</v>
      </c>
      <c r="H523" t="s">
        <v>106</v>
      </c>
      <c r="I523" t="s">
        <v>34</v>
      </c>
      <c r="J523" t="s">
        <v>35</v>
      </c>
      <c r="K523" t="s">
        <v>36</v>
      </c>
      <c r="L523">
        <v>10.85</v>
      </c>
      <c r="M523">
        <v>9</v>
      </c>
      <c r="N523" s="2">
        <v>0.2</v>
      </c>
      <c r="O523">
        <v>97.649999999999991</v>
      </c>
      <c r="P523">
        <v>19.53</v>
      </c>
      <c r="Q523">
        <f>Sheet1__3_1_1_1[[#This Row],[Gross_Revenue]]-Sheet1__3_1_1_1[[#This Row],[Discount_Amount]]</f>
        <v>78.11999999999999</v>
      </c>
      <c r="R523">
        <v>42.97</v>
      </c>
      <c r="S523">
        <f>Sheet1__3_1_1_1[[#This Row],[Net_Revenue]]-Sheet1__3_1_1_1[[#This Row],[COGS]]</f>
        <v>35.149999999999991</v>
      </c>
    </row>
    <row r="524" spans="1:19" x14ac:dyDescent="0.25">
      <c r="A524" t="s">
        <v>619</v>
      </c>
      <c r="B524" s="1">
        <v>44871</v>
      </c>
      <c r="C524" t="s">
        <v>77</v>
      </c>
      <c r="D524" t="s">
        <v>82</v>
      </c>
      <c r="E524" t="s">
        <v>39</v>
      </c>
      <c r="F524" t="s">
        <v>55</v>
      </c>
      <c r="G524" t="s">
        <v>103</v>
      </c>
      <c r="H524" t="s">
        <v>106</v>
      </c>
      <c r="I524" t="s">
        <v>34</v>
      </c>
      <c r="J524" t="s">
        <v>26</v>
      </c>
      <c r="K524" t="s">
        <v>143</v>
      </c>
      <c r="L524">
        <v>157.47999999999999</v>
      </c>
      <c r="M524">
        <v>7</v>
      </c>
      <c r="N524" s="2">
        <v>0.05</v>
      </c>
      <c r="O524">
        <v>1102.3599999999999</v>
      </c>
      <c r="P524">
        <v>55.117999999999995</v>
      </c>
      <c r="Q524">
        <f>Sheet1__3_1_1_1[[#This Row],[Gross_Revenue]]-Sheet1__3_1_1_1[[#This Row],[Discount_Amount]]</f>
        <v>1047.242</v>
      </c>
      <c r="R524">
        <v>439.84</v>
      </c>
      <c r="S524">
        <f>Sheet1__3_1_1_1[[#This Row],[Net_Revenue]]-Sheet1__3_1_1_1[[#This Row],[COGS]]</f>
        <v>607.40200000000004</v>
      </c>
    </row>
    <row r="525" spans="1:19" x14ac:dyDescent="0.25">
      <c r="A525" t="s">
        <v>620</v>
      </c>
      <c r="B525" s="1">
        <v>44828</v>
      </c>
      <c r="C525" t="s">
        <v>77</v>
      </c>
      <c r="D525" t="s">
        <v>82</v>
      </c>
      <c r="E525" t="s">
        <v>66</v>
      </c>
      <c r="F525" t="s">
        <v>31</v>
      </c>
      <c r="G525" t="s">
        <v>32</v>
      </c>
      <c r="H525" t="s">
        <v>33</v>
      </c>
      <c r="I525" t="s">
        <v>48</v>
      </c>
      <c r="J525" t="s">
        <v>89</v>
      </c>
      <c r="K525" t="s">
        <v>27</v>
      </c>
      <c r="L525">
        <v>451.58</v>
      </c>
      <c r="M525">
        <v>7</v>
      </c>
      <c r="N525" s="2">
        <v>0</v>
      </c>
      <c r="O525">
        <v>3161.06</v>
      </c>
      <c r="P525">
        <v>0</v>
      </c>
      <c r="Q525">
        <f>Sheet1__3_1_1_1[[#This Row],[Gross_Revenue]]-Sheet1__3_1_1_1[[#This Row],[Discount_Amount]]</f>
        <v>3161.06</v>
      </c>
      <c r="R525">
        <v>1517.31</v>
      </c>
      <c r="S525">
        <f>Sheet1__3_1_1_1[[#This Row],[Net_Revenue]]-Sheet1__3_1_1_1[[#This Row],[COGS]]</f>
        <v>1643.75</v>
      </c>
    </row>
    <row r="526" spans="1:19" x14ac:dyDescent="0.25">
      <c r="A526" t="s">
        <v>621</v>
      </c>
      <c r="B526" s="1">
        <v>45183</v>
      </c>
      <c r="C526" t="s">
        <v>29</v>
      </c>
      <c r="D526" t="s">
        <v>30</v>
      </c>
      <c r="E526" t="s">
        <v>63</v>
      </c>
      <c r="F526" t="s">
        <v>31</v>
      </c>
      <c r="G526" t="s">
        <v>93</v>
      </c>
      <c r="H526" t="s">
        <v>108</v>
      </c>
      <c r="I526" t="s">
        <v>42</v>
      </c>
      <c r="J526" t="s">
        <v>26</v>
      </c>
      <c r="K526" t="s">
        <v>36</v>
      </c>
      <c r="L526">
        <v>124.43</v>
      </c>
      <c r="M526">
        <v>1</v>
      </c>
      <c r="N526" s="2">
        <v>0.15</v>
      </c>
      <c r="O526">
        <v>124.43</v>
      </c>
      <c r="P526">
        <v>18.6645</v>
      </c>
      <c r="Q526">
        <f>Sheet1__3_1_1_1[[#This Row],[Gross_Revenue]]-Sheet1__3_1_1_1[[#This Row],[Discount_Amount]]</f>
        <v>105.7655</v>
      </c>
      <c r="R526">
        <v>50.77</v>
      </c>
      <c r="S526">
        <f>Sheet1__3_1_1_1[[#This Row],[Net_Revenue]]-Sheet1__3_1_1_1[[#This Row],[COGS]]</f>
        <v>54.9955</v>
      </c>
    </row>
    <row r="527" spans="1:19" x14ac:dyDescent="0.25">
      <c r="A527" t="s">
        <v>622</v>
      </c>
      <c r="B527" s="1">
        <v>44660</v>
      </c>
      <c r="C527" t="s">
        <v>29</v>
      </c>
      <c r="D527" t="s">
        <v>62</v>
      </c>
      <c r="E527" t="s">
        <v>63</v>
      </c>
      <c r="F527" t="s">
        <v>31</v>
      </c>
      <c r="G527" t="s">
        <v>122</v>
      </c>
      <c r="H527" t="s">
        <v>59</v>
      </c>
      <c r="I527" t="s">
        <v>60</v>
      </c>
      <c r="J527" t="s">
        <v>26</v>
      </c>
      <c r="K527" t="s">
        <v>36</v>
      </c>
      <c r="L527">
        <v>408.7</v>
      </c>
      <c r="M527">
        <v>5</v>
      </c>
      <c r="N527" s="2">
        <v>0.1</v>
      </c>
      <c r="O527">
        <v>2043.5</v>
      </c>
      <c r="P527">
        <v>204.35000000000002</v>
      </c>
      <c r="Q527">
        <f>Sheet1__3_1_1_1[[#This Row],[Gross_Revenue]]-Sheet1__3_1_1_1[[#This Row],[Discount_Amount]]</f>
        <v>1839.15</v>
      </c>
      <c r="R527">
        <v>882.79</v>
      </c>
      <c r="S527">
        <f>Sheet1__3_1_1_1[[#This Row],[Net_Revenue]]-Sheet1__3_1_1_1[[#This Row],[COGS]]</f>
        <v>956.36000000000013</v>
      </c>
    </row>
    <row r="528" spans="1:19" x14ac:dyDescent="0.25">
      <c r="A528" t="s">
        <v>623</v>
      </c>
      <c r="B528" s="1">
        <v>44658</v>
      </c>
      <c r="C528" t="s">
        <v>44</v>
      </c>
      <c r="D528" t="s">
        <v>65</v>
      </c>
      <c r="E528" t="s">
        <v>63</v>
      </c>
      <c r="F528" t="s">
        <v>79</v>
      </c>
      <c r="G528" t="s">
        <v>56</v>
      </c>
      <c r="H528" t="s">
        <v>111</v>
      </c>
      <c r="I528" t="s">
        <v>25</v>
      </c>
      <c r="J528" t="s">
        <v>26</v>
      </c>
      <c r="K528" t="s">
        <v>53</v>
      </c>
      <c r="L528">
        <v>43.01</v>
      </c>
      <c r="M528">
        <v>4</v>
      </c>
      <c r="N528" s="2">
        <v>0</v>
      </c>
      <c r="O528">
        <v>172.04</v>
      </c>
      <c r="P528">
        <v>0</v>
      </c>
      <c r="Q528">
        <f>Sheet1__3_1_1_1[[#This Row],[Gross_Revenue]]-Sheet1__3_1_1_1[[#This Row],[Discount_Amount]]</f>
        <v>172.04</v>
      </c>
      <c r="R528">
        <v>106.66</v>
      </c>
      <c r="S528">
        <f>Sheet1__3_1_1_1[[#This Row],[Net_Revenue]]-Sheet1__3_1_1_1[[#This Row],[COGS]]</f>
        <v>65.38</v>
      </c>
    </row>
    <row r="529" spans="1:19" x14ac:dyDescent="0.25">
      <c r="A529" t="s">
        <v>624</v>
      </c>
      <c r="B529" s="1">
        <v>45223</v>
      </c>
      <c r="C529" t="s">
        <v>44</v>
      </c>
      <c r="D529" t="s">
        <v>65</v>
      </c>
      <c r="E529" t="s">
        <v>63</v>
      </c>
      <c r="F529" t="s">
        <v>31</v>
      </c>
      <c r="G529" t="s">
        <v>32</v>
      </c>
      <c r="H529" t="s">
        <v>59</v>
      </c>
      <c r="I529" t="s">
        <v>48</v>
      </c>
      <c r="J529" t="s">
        <v>26</v>
      </c>
      <c r="K529" t="s">
        <v>36</v>
      </c>
      <c r="L529">
        <v>350.57</v>
      </c>
      <c r="M529">
        <v>1</v>
      </c>
      <c r="N529" s="2">
        <v>0.2</v>
      </c>
      <c r="O529">
        <v>350.57</v>
      </c>
      <c r="P529">
        <v>70.114000000000004</v>
      </c>
      <c r="Q529">
        <f>Sheet1__3_1_1_1[[#This Row],[Gross_Revenue]]-Sheet1__3_1_1_1[[#This Row],[Discount_Amount]]</f>
        <v>280.45600000000002</v>
      </c>
      <c r="R529">
        <v>134.62</v>
      </c>
      <c r="S529">
        <f>Sheet1__3_1_1_1[[#This Row],[Net_Revenue]]-Sheet1__3_1_1_1[[#This Row],[COGS]]</f>
        <v>145.83600000000001</v>
      </c>
    </row>
    <row r="530" spans="1:19" x14ac:dyDescent="0.25">
      <c r="A530" t="s">
        <v>625</v>
      </c>
      <c r="B530" s="1">
        <v>44562</v>
      </c>
      <c r="C530" t="s">
        <v>19</v>
      </c>
      <c r="D530" t="s">
        <v>130</v>
      </c>
      <c r="E530" t="s">
        <v>66</v>
      </c>
      <c r="F530" t="s">
        <v>55</v>
      </c>
      <c r="G530" t="s">
        <v>56</v>
      </c>
      <c r="H530" t="s">
        <v>57</v>
      </c>
      <c r="I530" t="s">
        <v>34</v>
      </c>
      <c r="J530" t="s">
        <v>49</v>
      </c>
      <c r="K530" t="s">
        <v>36</v>
      </c>
      <c r="L530">
        <v>49.87</v>
      </c>
      <c r="M530">
        <v>7</v>
      </c>
      <c r="N530" s="2">
        <v>0.15</v>
      </c>
      <c r="O530">
        <v>349.09</v>
      </c>
      <c r="P530">
        <v>52.363499999999995</v>
      </c>
      <c r="Q530">
        <f>Sheet1__3_1_1_1[[#This Row],[Gross_Revenue]]-Sheet1__3_1_1_1[[#This Row],[Discount_Amount]]</f>
        <v>296.72649999999999</v>
      </c>
      <c r="R530">
        <v>124.63</v>
      </c>
      <c r="S530">
        <f>Sheet1__3_1_1_1[[#This Row],[Net_Revenue]]-Sheet1__3_1_1_1[[#This Row],[COGS]]</f>
        <v>172.09649999999999</v>
      </c>
    </row>
    <row r="531" spans="1:19" x14ac:dyDescent="0.25">
      <c r="A531" t="s">
        <v>626</v>
      </c>
      <c r="B531" s="1">
        <v>45200</v>
      </c>
      <c r="C531" t="s">
        <v>19</v>
      </c>
      <c r="D531" t="s">
        <v>91</v>
      </c>
      <c r="E531" t="s">
        <v>63</v>
      </c>
      <c r="F531" t="s">
        <v>79</v>
      </c>
      <c r="G531" t="s">
        <v>80</v>
      </c>
      <c r="H531" t="s">
        <v>106</v>
      </c>
      <c r="I531" t="s">
        <v>42</v>
      </c>
      <c r="J531" t="s">
        <v>89</v>
      </c>
      <c r="K531" t="s">
        <v>53</v>
      </c>
      <c r="L531">
        <v>681.01</v>
      </c>
      <c r="M531">
        <v>3</v>
      </c>
      <c r="N531" s="2">
        <v>0</v>
      </c>
      <c r="O531">
        <v>2043.03</v>
      </c>
      <c r="P531">
        <v>0</v>
      </c>
      <c r="Q531">
        <f>Sheet1__3_1_1_1[[#This Row],[Gross_Revenue]]-Sheet1__3_1_1_1[[#This Row],[Discount_Amount]]</f>
        <v>2043.03</v>
      </c>
      <c r="R531">
        <v>1266.68</v>
      </c>
      <c r="S531">
        <f>Sheet1__3_1_1_1[[#This Row],[Net_Revenue]]-Sheet1__3_1_1_1[[#This Row],[COGS]]</f>
        <v>776.34999999999991</v>
      </c>
    </row>
    <row r="532" spans="1:19" x14ac:dyDescent="0.25">
      <c r="A532" t="s">
        <v>627</v>
      </c>
      <c r="B532" s="1">
        <v>45052</v>
      </c>
      <c r="C532" t="s">
        <v>99</v>
      </c>
      <c r="D532" t="s">
        <v>148</v>
      </c>
      <c r="E532" t="s">
        <v>66</v>
      </c>
      <c r="F532" t="s">
        <v>22</v>
      </c>
      <c r="G532" t="s">
        <v>46</v>
      </c>
      <c r="H532" t="s">
        <v>59</v>
      </c>
      <c r="I532" t="s">
        <v>60</v>
      </c>
      <c r="J532" t="s">
        <v>26</v>
      </c>
      <c r="K532" t="s">
        <v>143</v>
      </c>
      <c r="L532">
        <v>22.23</v>
      </c>
      <c r="M532">
        <v>13</v>
      </c>
      <c r="N532" s="2">
        <v>0</v>
      </c>
      <c r="O532">
        <v>288.99</v>
      </c>
      <c r="P532">
        <v>0</v>
      </c>
      <c r="Q532">
        <f>Sheet1__3_1_1_1[[#This Row],[Gross_Revenue]]-Sheet1__3_1_1_1[[#This Row],[Discount_Amount]]</f>
        <v>288.99</v>
      </c>
      <c r="R532">
        <v>158.94</v>
      </c>
      <c r="S532">
        <f>Sheet1__3_1_1_1[[#This Row],[Net_Revenue]]-Sheet1__3_1_1_1[[#This Row],[COGS]]</f>
        <v>130.05000000000001</v>
      </c>
    </row>
    <row r="533" spans="1:19" x14ac:dyDescent="0.25">
      <c r="A533" t="s">
        <v>628</v>
      </c>
      <c r="B533" s="1">
        <v>44619</v>
      </c>
      <c r="C533" t="s">
        <v>99</v>
      </c>
      <c r="D533" t="s">
        <v>148</v>
      </c>
      <c r="E533" t="s">
        <v>21</v>
      </c>
      <c r="F533" t="s">
        <v>31</v>
      </c>
      <c r="G533" t="s">
        <v>122</v>
      </c>
      <c r="H533" t="s">
        <v>33</v>
      </c>
      <c r="I533" t="s">
        <v>34</v>
      </c>
      <c r="J533" t="s">
        <v>94</v>
      </c>
      <c r="K533" t="s">
        <v>53</v>
      </c>
      <c r="L533">
        <v>499.99</v>
      </c>
      <c r="M533">
        <v>7</v>
      </c>
      <c r="N533" s="2">
        <v>0.2</v>
      </c>
      <c r="O533">
        <v>3499.9300000000003</v>
      </c>
      <c r="P533">
        <v>699.9860000000001</v>
      </c>
      <c r="Q533">
        <f>Sheet1__3_1_1_1[[#This Row],[Gross_Revenue]]-Sheet1__3_1_1_1[[#This Row],[Discount_Amount]]</f>
        <v>2799.9440000000004</v>
      </c>
      <c r="R533">
        <v>1343.97</v>
      </c>
      <c r="S533">
        <f>Sheet1__3_1_1_1[[#This Row],[Net_Revenue]]-Sheet1__3_1_1_1[[#This Row],[COGS]]</f>
        <v>1455.9740000000004</v>
      </c>
    </row>
    <row r="534" spans="1:19" x14ac:dyDescent="0.25">
      <c r="A534" t="s">
        <v>629</v>
      </c>
      <c r="B534" s="1">
        <v>44838</v>
      </c>
      <c r="C534" t="s">
        <v>29</v>
      </c>
      <c r="D534" t="s">
        <v>38</v>
      </c>
      <c r="E534" t="s">
        <v>21</v>
      </c>
      <c r="F534" t="s">
        <v>79</v>
      </c>
      <c r="G534" t="s">
        <v>96</v>
      </c>
      <c r="H534" t="s">
        <v>33</v>
      </c>
      <c r="I534" t="s">
        <v>42</v>
      </c>
      <c r="J534" t="s">
        <v>49</v>
      </c>
      <c r="K534" t="s">
        <v>36</v>
      </c>
      <c r="L534">
        <v>366.04</v>
      </c>
      <c r="N534" s="2">
        <v>0</v>
      </c>
      <c r="O534">
        <v>0</v>
      </c>
      <c r="P534">
        <v>0</v>
      </c>
      <c r="Q534">
        <f>Sheet1__3_1_1_1[[#This Row],[Gross_Revenue]]-Sheet1__3_1_1_1[[#This Row],[Discount_Amount]]</f>
        <v>0</v>
      </c>
      <c r="R534" t="s">
        <v>1147</v>
      </c>
      <c r="S534" t="e">
        <f>Sheet1__3_1_1_1[[#This Row],[Net_Revenue]]-Sheet1__3_1_1_1[[#This Row],[COGS]]</f>
        <v>#VALUE!</v>
      </c>
    </row>
    <row r="535" spans="1:19" x14ac:dyDescent="0.25">
      <c r="A535" t="s">
        <v>630</v>
      </c>
      <c r="B535" s="1">
        <v>45222</v>
      </c>
      <c r="C535" t="s">
        <v>77</v>
      </c>
      <c r="D535" t="s">
        <v>78</v>
      </c>
      <c r="E535" t="s">
        <v>66</v>
      </c>
      <c r="F535" t="s">
        <v>55</v>
      </c>
      <c r="G535" t="s">
        <v>83</v>
      </c>
      <c r="H535" t="s">
        <v>111</v>
      </c>
      <c r="I535" t="s">
        <v>34</v>
      </c>
      <c r="J535" t="s">
        <v>26</v>
      </c>
      <c r="K535" t="s">
        <v>36</v>
      </c>
      <c r="L535">
        <v>56.56</v>
      </c>
      <c r="M535">
        <v>7</v>
      </c>
      <c r="N535" s="2">
        <v>0.05</v>
      </c>
      <c r="O535">
        <v>395.92</v>
      </c>
      <c r="P535">
        <v>19.796000000000003</v>
      </c>
      <c r="Q535">
        <f>Sheet1__3_1_1_1[[#This Row],[Gross_Revenue]]-Sheet1__3_1_1_1[[#This Row],[Discount_Amount]]</f>
        <v>376.12400000000002</v>
      </c>
      <c r="R535">
        <v>157.97</v>
      </c>
      <c r="S535">
        <f>Sheet1__3_1_1_1[[#This Row],[Net_Revenue]]-Sheet1__3_1_1_1[[#This Row],[COGS]]</f>
        <v>218.15400000000002</v>
      </c>
    </row>
    <row r="536" spans="1:19" x14ac:dyDescent="0.25">
      <c r="A536" t="s">
        <v>631</v>
      </c>
      <c r="B536" s="1">
        <v>45115</v>
      </c>
      <c r="C536" t="s">
        <v>29</v>
      </c>
      <c r="D536" t="s">
        <v>38</v>
      </c>
      <c r="E536" t="s">
        <v>39</v>
      </c>
      <c r="F536" t="s">
        <v>31</v>
      </c>
      <c r="G536" t="s">
        <v>32</v>
      </c>
      <c r="H536" t="s">
        <v>106</v>
      </c>
      <c r="I536" t="s">
        <v>25</v>
      </c>
      <c r="J536" t="s">
        <v>94</v>
      </c>
      <c r="K536" t="s">
        <v>36</v>
      </c>
      <c r="L536" t="s">
        <v>1147</v>
      </c>
      <c r="M536">
        <v>3</v>
      </c>
      <c r="N536" s="2">
        <v>0.05</v>
      </c>
      <c r="O536">
        <v>0</v>
      </c>
      <c r="P536">
        <v>0</v>
      </c>
      <c r="Q536">
        <f>Sheet1__3_1_1_1[[#This Row],[Gross_Revenue]]-Sheet1__3_1_1_1[[#This Row],[Discount_Amount]]</f>
        <v>0</v>
      </c>
      <c r="R536" t="s">
        <v>1147</v>
      </c>
      <c r="S536" t="e">
        <f>Sheet1__3_1_1_1[[#This Row],[Net_Revenue]]-Sheet1__3_1_1_1[[#This Row],[COGS]]</f>
        <v>#VALUE!</v>
      </c>
    </row>
    <row r="537" spans="1:19" x14ac:dyDescent="0.25">
      <c r="A537" t="s">
        <v>632</v>
      </c>
      <c r="B537" s="1">
        <v>44892</v>
      </c>
      <c r="C537" t="s">
        <v>19</v>
      </c>
      <c r="D537" t="s">
        <v>20</v>
      </c>
      <c r="E537" t="s">
        <v>21</v>
      </c>
      <c r="F537" t="s">
        <v>55</v>
      </c>
      <c r="G537" t="s">
        <v>56</v>
      </c>
      <c r="H537" t="s">
        <v>111</v>
      </c>
      <c r="I537" t="s">
        <v>42</v>
      </c>
      <c r="J537" t="s">
        <v>49</v>
      </c>
      <c r="K537" t="s">
        <v>143</v>
      </c>
      <c r="L537">
        <v>53.9</v>
      </c>
      <c r="M537">
        <v>1</v>
      </c>
      <c r="N537" s="2">
        <v>0</v>
      </c>
      <c r="O537">
        <v>53.9</v>
      </c>
      <c r="P537">
        <v>0</v>
      </c>
      <c r="Q537">
        <f>Sheet1__3_1_1_1[[#This Row],[Gross_Revenue]]-Sheet1__3_1_1_1[[#This Row],[Discount_Amount]]</f>
        <v>53.9</v>
      </c>
      <c r="R537">
        <v>22.64</v>
      </c>
      <c r="S537">
        <f>Sheet1__3_1_1_1[[#This Row],[Net_Revenue]]-Sheet1__3_1_1_1[[#This Row],[COGS]]</f>
        <v>31.259999999999998</v>
      </c>
    </row>
    <row r="538" spans="1:19" x14ac:dyDescent="0.25">
      <c r="A538" t="s">
        <v>633</v>
      </c>
      <c r="B538" s="1">
        <v>45142</v>
      </c>
      <c r="C538" t="s">
        <v>99</v>
      </c>
      <c r="D538" t="s">
        <v>148</v>
      </c>
      <c r="E538" t="s">
        <v>63</v>
      </c>
      <c r="F538" t="s">
        <v>31</v>
      </c>
      <c r="G538" t="s">
        <v>93</v>
      </c>
      <c r="H538" t="s">
        <v>24</v>
      </c>
      <c r="I538" t="s">
        <v>48</v>
      </c>
      <c r="J538" t="s">
        <v>49</v>
      </c>
      <c r="K538" t="s">
        <v>36</v>
      </c>
      <c r="L538">
        <v>121.47</v>
      </c>
      <c r="M538">
        <v>1</v>
      </c>
      <c r="N538" s="2">
        <v>0</v>
      </c>
      <c r="O538">
        <v>121.47</v>
      </c>
      <c r="P538">
        <v>0</v>
      </c>
      <c r="Q538">
        <f>Sheet1__3_1_1_1[[#This Row],[Gross_Revenue]]-Sheet1__3_1_1_1[[#This Row],[Discount_Amount]]</f>
        <v>121.47</v>
      </c>
      <c r="R538">
        <v>58.31</v>
      </c>
      <c r="S538">
        <f>Sheet1__3_1_1_1[[#This Row],[Net_Revenue]]-Sheet1__3_1_1_1[[#This Row],[COGS]]</f>
        <v>63.16</v>
      </c>
    </row>
    <row r="539" spans="1:19" x14ac:dyDescent="0.25">
      <c r="A539" t="s">
        <v>634</v>
      </c>
      <c r="B539" s="1">
        <v>44604</v>
      </c>
      <c r="C539" t="s">
        <v>77</v>
      </c>
      <c r="D539" t="s">
        <v>110</v>
      </c>
      <c r="E539" t="s">
        <v>39</v>
      </c>
      <c r="F539" t="s">
        <v>31</v>
      </c>
      <c r="G539" t="s">
        <v>166</v>
      </c>
      <c r="H539" t="s">
        <v>24</v>
      </c>
      <c r="I539" t="s">
        <v>60</v>
      </c>
      <c r="J539" t="s">
        <v>26</v>
      </c>
      <c r="K539" t="s">
        <v>36</v>
      </c>
      <c r="L539">
        <v>276.99</v>
      </c>
      <c r="M539">
        <v>2</v>
      </c>
      <c r="N539" s="2">
        <v>0.05</v>
      </c>
      <c r="O539">
        <v>553.98</v>
      </c>
      <c r="P539">
        <v>27.699000000000002</v>
      </c>
      <c r="Q539">
        <f>Sheet1__3_1_1_1[[#This Row],[Gross_Revenue]]-Sheet1__3_1_1_1[[#This Row],[Discount_Amount]]</f>
        <v>526.28100000000006</v>
      </c>
      <c r="R539">
        <v>252.61</v>
      </c>
      <c r="S539">
        <f>Sheet1__3_1_1_1[[#This Row],[Net_Revenue]]-Sheet1__3_1_1_1[[#This Row],[COGS]]</f>
        <v>273.67100000000005</v>
      </c>
    </row>
    <row r="540" spans="1:19" x14ac:dyDescent="0.25">
      <c r="A540" t="s">
        <v>635</v>
      </c>
      <c r="B540" s="1">
        <v>45020</v>
      </c>
      <c r="C540" t="s">
        <v>77</v>
      </c>
      <c r="D540" t="s">
        <v>82</v>
      </c>
      <c r="E540" t="s">
        <v>21</v>
      </c>
      <c r="F540" t="s">
        <v>22</v>
      </c>
      <c r="G540" t="s">
        <v>23</v>
      </c>
      <c r="H540" t="s">
        <v>47</v>
      </c>
      <c r="I540" t="s">
        <v>60</v>
      </c>
      <c r="J540" t="s">
        <v>49</v>
      </c>
      <c r="K540" t="s">
        <v>27</v>
      </c>
      <c r="L540">
        <v>13.53</v>
      </c>
      <c r="M540">
        <v>18</v>
      </c>
      <c r="N540" s="2">
        <v>0</v>
      </c>
      <c r="O540">
        <v>243.54</v>
      </c>
      <c r="P540">
        <v>0</v>
      </c>
      <c r="Q540">
        <f>Sheet1__3_1_1_1[[#This Row],[Gross_Revenue]]-Sheet1__3_1_1_1[[#This Row],[Discount_Amount]]</f>
        <v>243.54</v>
      </c>
      <c r="R540">
        <v>133.94999999999999</v>
      </c>
      <c r="S540">
        <f>Sheet1__3_1_1_1[[#This Row],[Net_Revenue]]-Sheet1__3_1_1_1[[#This Row],[COGS]]</f>
        <v>109.59</v>
      </c>
    </row>
    <row r="541" spans="1:19" x14ac:dyDescent="0.25">
      <c r="A541" t="s">
        <v>636</v>
      </c>
      <c r="B541" s="1">
        <v>44923</v>
      </c>
      <c r="C541" t="s">
        <v>77</v>
      </c>
      <c r="D541" t="s">
        <v>110</v>
      </c>
      <c r="E541" t="s">
        <v>21</v>
      </c>
      <c r="F541" t="s">
        <v>69</v>
      </c>
      <c r="G541" t="s">
        <v>70</v>
      </c>
      <c r="H541" t="s">
        <v>57</v>
      </c>
      <c r="I541" t="s">
        <v>34</v>
      </c>
      <c r="J541" t="s">
        <v>49</v>
      </c>
      <c r="K541" t="s">
        <v>53</v>
      </c>
      <c r="L541">
        <v>391.84</v>
      </c>
      <c r="N541" s="2">
        <v>0</v>
      </c>
      <c r="O541">
        <v>0</v>
      </c>
      <c r="P541">
        <v>0</v>
      </c>
      <c r="Q541">
        <f>Sheet1__3_1_1_1[[#This Row],[Gross_Revenue]]-Sheet1__3_1_1_1[[#This Row],[Discount_Amount]]</f>
        <v>0</v>
      </c>
      <c r="R541" t="s">
        <v>1147</v>
      </c>
      <c r="S541" t="e">
        <f>Sheet1__3_1_1_1[[#This Row],[Net_Revenue]]-Sheet1__3_1_1_1[[#This Row],[COGS]]</f>
        <v>#VALUE!</v>
      </c>
    </row>
    <row r="542" spans="1:19" x14ac:dyDescent="0.25">
      <c r="A542" t="s">
        <v>637</v>
      </c>
      <c r="B542" s="1">
        <v>44658</v>
      </c>
      <c r="C542" t="s">
        <v>77</v>
      </c>
      <c r="D542" t="s">
        <v>110</v>
      </c>
      <c r="E542" t="s">
        <v>63</v>
      </c>
      <c r="F542" t="s">
        <v>22</v>
      </c>
      <c r="G542" t="s">
        <v>46</v>
      </c>
      <c r="H542" t="s">
        <v>41</v>
      </c>
      <c r="I542" t="s">
        <v>42</v>
      </c>
      <c r="J542" t="s">
        <v>89</v>
      </c>
      <c r="K542" t="s">
        <v>36</v>
      </c>
      <c r="L542">
        <v>16.12</v>
      </c>
      <c r="M542">
        <v>22</v>
      </c>
      <c r="N542" s="2">
        <v>0.05</v>
      </c>
      <c r="O542">
        <v>354.64000000000004</v>
      </c>
      <c r="P542">
        <v>17.732000000000003</v>
      </c>
      <c r="Q542">
        <f>Sheet1__3_1_1_1[[#This Row],[Gross_Revenue]]-Sheet1__3_1_1_1[[#This Row],[Discount_Amount]]</f>
        <v>336.90800000000002</v>
      </c>
      <c r="R542">
        <v>185.3</v>
      </c>
      <c r="S542">
        <f>Sheet1__3_1_1_1[[#This Row],[Net_Revenue]]-Sheet1__3_1_1_1[[#This Row],[COGS]]</f>
        <v>151.608</v>
      </c>
    </row>
    <row r="543" spans="1:19" x14ac:dyDescent="0.25">
      <c r="A543" t="s">
        <v>638</v>
      </c>
      <c r="B543" s="1">
        <v>44595</v>
      </c>
      <c r="C543" t="s">
        <v>19</v>
      </c>
      <c r="D543" t="s">
        <v>91</v>
      </c>
      <c r="E543" t="s">
        <v>63</v>
      </c>
      <c r="F543" t="s">
        <v>69</v>
      </c>
      <c r="G543" t="s">
        <v>73</v>
      </c>
      <c r="H543" t="s">
        <v>106</v>
      </c>
      <c r="I543" t="s">
        <v>42</v>
      </c>
      <c r="J543" t="s">
        <v>49</v>
      </c>
      <c r="K543" t="s">
        <v>36</v>
      </c>
      <c r="L543">
        <v>14.71</v>
      </c>
      <c r="M543">
        <v>22</v>
      </c>
      <c r="N543" s="2">
        <v>0</v>
      </c>
      <c r="O543">
        <v>323.62</v>
      </c>
      <c r="P543">
        <v>0</v>
      </c>
      <c r="Q543">
        <f>Sheet1__3_1_1_1[[#This Row],[Gross_Revenue]]-Sheet1__3_1_1_1[[#This Row],[Discount_Amount]]</f>
        <v>323.62</v>
      </c>
      <c r="R543">
        <v>122.98</v>
      </c>
      <c r="S543">
        <f>Sheet1__3_1_1_1[[#This Row],[Net_Revenue]]-Sheet1__3_1_1_1[[#This Row],[COGS]]</f>
        <v>200.64</v>
      </c>
    </row>
    <row r="544" spans="1:19" x14ac:dyDescent="0.25">
      <c r="A544" t="s">
        <v>639</v>
      </c>
      <c r="B544" s="1">
        <v>44585</v>
      </c>
      <c r="C544" t="s">
        <v>99</v>
      </c>
      <c r="D544" t="s">
        <v>132</v>
      </c>
      <c r="E544" t="s">
        <v>63</v>
      </c>
      <c r="F544" t="s">
        <v>55</v>
      </c>
      <c r="G544" t="s">
        <v>103</v>
      </c>
      <c r="H544" t="s">
        <v>106</v>
      </c>
      <c r="I544" t="s">
        <v>25</v>
      </c>
      <c r="J544" t="s">
        <v>49</v>
      </c>
      <c r="K544" t="s">
        <v>27</v>
      </c>
      <c r="L544">
        <v>194.43</v>
      </c>
      <c r="M544">
        <v>6</v>
      </c>
      <c r="N544" s="2">
        <v>0</v>
      </c>
      <c r="O544">
        <v>1166.58</v>
      </c>
      <c r="P544">
        <v>0</v>
      </c>
      <c r="Q544">
        <f>Sheet1__3_1_1_1[[#This Row],[Gross_Revenue]]-Sheet1__3_1_1_1[[#This Row],[Discount_Amount]]</f>
        <v>1166.58</v>
      </c>
      <c r="R544">
        <v>489.96</v>
      </c>
      <c r="S544">
        <f>Sheet1__3_1_1_1[[#This Row],[Net_Revenue]]-Sheet1__3_1_1_1[[#This Row],[COGS]]</f>
        <v>676.61999999999989</v>
      </c>
    </row>
    <row r="545" spans="1:19" x14ac:dyDescent="0.25">
      <c r="A545" t="s">
        <v>640</v>
      </c>
      <c r="B545" s="1">
        <v>44573</v>
      </c>
      <c r="C545" t="s">
        <v>19</v>
      </c>
      <c r="D545" t="s">
        <v>91</v>
      </c>
      <c r="E545" t="s">
        <v>66</v>
      </c>
      <c r="F545" t="s">
        <v>55</v>
      </c>
      <c r="G545" t="s">
        <v>120</v>
      </c>
      <c r="H545" t="s">
        <v>57</v>
      </c>
      <c r="I545" t="s">
        <v>60</v>
      </c>
      <c r="J545" t="s">
        <v>49</v>
      </c>
      <c r="K545" t="s">
        <v>143</v>
      </c>
      <c r="L545">
        <v>112.95</v>
      </c>
      <c r="M545">
        <v>1</v>
      </c>
      <c r="N545" s="2">
        <v>0.2</v>
      </c>
      <c r="O545">
        <v>112.95</v>
      </c>
      <c r="P545">
        <v>22.590000000000003</v>
      </c>
      <c r="Q545">
        <f>Sheet1__3_1_1_1[[#This Row],[Gross_Revenue]]-Sheet1__3_1_1_1[[#This Row],[Discount_Amount]]</f>
        <v>90.36</v>
      </c>
      <c r="R545">
        <v>37.950000000000003</v>
      </c>
      <c r="S545">
        <f>Sheet1__3_1_1_1[[#This Row],[Net_Revenue]]-Sheet1__3_1_1_1[[#This Row],[COGS]]</f>
        <v>52.41</v>
      </c>
    </row>
    <row r="546" spans="1:19" x14ac:dyDescent="0.25">
      <c r="A546" t="s">
        <v>641</v>
      </c>
      <c r="B546" s="1">
        <v>45225</v>
      </c>
      <c r="C546" t="s">
        <v>77</v>
      </c>
      <c r="D546" t="s">
        <v>78</v>
      </c>
      <c r="E546" t="s">
        <v>39</v>
      </c>
      <c r="F546" t="s">
        <v>79</v>
      </c>
      <c r="G546" t="s">
        <v>56</v>
      </c>
      <c r="H546" t="s">
        <v>33</v>
      </c>
      <c r="I546" t="s">
        <v>42</v>
      </c>
      <c r="J546" t="s">
        <v>94</v>
      </c>
      <c r="K546" t="s">
        <v>143</v>
      </c>
      <c r="L546">
        <v>38.619999999999997</v>
      </c>
      <c r="M546">
        <v>5</v>
      </c>
      <c r="N546" s="2">
        <v>0.15</v>
      </c>
      <c r="O546">
        <v>193.1</v>
      </c>
      <c r="P546">
        <v>28.964999999999996</v>
      </c>
      <c r="Q546">
        <f>Sheet1__3_1_1_1[[#This Row],[Gross_Revenue]]-Sheet1__3_1_1_1[[#This Row],[Discount_Amount]]</f>
        <v>164.13499999999999</v>
      </c>
      <c r="R546">
        <v>101.77</v>
      </c>
      <c r="S546">
        <f>Sheet1__3_1_1_1[[#This Row],[Net_Revenue]]-Sheet1__3_1_1_1[[#This Row],[COGS]]</f>
        <v>62.364999999999995</v>
      </c>
    </row>
    <row r="547" spans="1:19" x14ac:dyDescent="0.25">
      <c r="A547" t="s">
        <v>642</v>
      </c>
      <c r="B547" s="1">
        <v>44707</v>
      </c>
      <c r="C547" t="s">
        <v>99</v>
      </c>
      <c r="D547" t="s">
        <v>148</v>
      </c>
      <c r="E547" t="s">
        <v>39</v>
      </c>
      <c r="F547" t="s">
        <v>31</v>
      </c>
      <c r="G547" t="s">
        <v>93</v>
      </c>
      <c r="H547" t="s">
        <v>24</v>
      </c>
      <c r="I547" t="s">
        <v>42</v>
      </c>
      <c r="J547" t="s">
        <v>49</v>
      </c>
      <c r="K547" t="s">
        <v>53</v>
      </c>
      <c r="L547">
        <v>161.13999999999999</v>
      </c>
      <c r="M547">
        <v>5</v>
      </c>
      <c r="N547" s="2">
        <v>0</v>
      </c>
      <c r="O547">
        <v>805.69999999999993</v>
      </c>
      <c r="P547">
        <v>0</v>
      </c>
      <c r="Q547">
        <f>Sheet1__3_1_1_1[[#This Row],[Gross_Revenue]]-Sheet1__3_1_1_1[[#This Row],[Discount_Amount]]</f>
        <v>805.69999999999993</v>
      </c>
      <c r="R547">
        <v>386.74</v>
      </c>
      <c r="S547">
        <f>Sheet1__3_1_1_1[[#This Row],[Net_Revenue]]-Sheet1__3_1_1_1[[#This Row],[COGS]]</f>
        <v>418.95999999999992</v>
      </c>
    </row>
    <row r="548" spans="1:19" x14ac:dyDescent="0.25">
      <c r="A548" t="s">
        <v>643</v>
      </c>
      <c r="B548" s="1">
        <v>44854</v>
      </c>
      <c r="C548" t="s">
        <v>44</v>
      </c>
      <c r="D548" t="s">
        <v>45</v>
      </c>
      <c r="E548" t="s">
        <v>39</v>
      </c>
      <c r="F548" t="s">
        <v>79</v>
      </c>
      <c r="G548" t="s">
        <v>56</v>
      </c>
      <c r="H548" t="s">
        <v>52</v>
      </c>
      <c r="I548" t="s">
        <v>48</v>
      </c>
      <c r="J548" t="s">
        <v>35</v>
      </c>
      <c r="K548" t="s">
        <v>53</v>
      </c>
      <c r="L548" t="s">
        <v>1147</v>
      </c>
      <c r="M548">
        <v>2</v>
      </c>
      <c r="N548" s="2">
        <v>0.05</v>
      </c>
      <c r="O548">
        <v>0</v>
      </c>
      <c r="P548">
        <v>0</v>
      </c>
      <c r="Q548">
        <f>Sheet1__3_1_1_1[[#This Row],[Gross_Revenue]]-Sheet1__3_1_1_1[[#This Row],[Discount_Amount]]</f>
        <v>0</v>
      </c>
      <c r="R548" t="s">
        <v>1147</v>
      </c>
      <c r="S548" t="e">
        <f>Sheet1__3_1_1_1[[#This Row],[Net_Revenue]]-Sheet1__3_1_1_1[[#This Row],[COGS]]</f>
        <v>#VALUE!</v>
      </c>
    </row>
    <row r="549" spans="1:19" x14ac:dyDescent="0.25">
      <c r="A549" t="s">
        <v>644</v>
      </c>
      <c r="B549" s="1">
        <v>44958</v>
      </c>
      <c r="C549" t="s">
        <v>77</v>
      </c>
      <c r="D549" t="s">
        <v>110</v>
      </c>
      <c r="E549" t="s">
        <v>39</v>
      </c>
      <c r="F549" t="s">
        <v>69</v>
      </c>
      <c r="G549" t="s">
        <v>73</v>
      </c>
      <c r="H549" t="s">
        <v>111</v>
      </c>
      <c r="I549" t="s">
        <v>34</v>
      </c>
      <c r="J549" t="s">
        <v>26</v>
      </c>
      <c r="K549" t="s">
        <v>36</v>
      </c>
      <c r="L549">
        <v>14.18</v>
      </c>
      <c r="M549">
        <v>30</v>
      </c>
      <c r="N549" s="2">
        <v>0.15</v>
      </c>
      <c r="O549">
        <v>425.4</v>
      </c>
      <c r="P549">
        <v>63.809999999999995</v>
      </c>
      <c r="Q549">
        <f>Sheet1__3_1_1_1[[#This Row],[Gross_Revenue]]-Sheet1__3_1_1_1[[#This Row],[Discount_Amount]]</f>
        <v>361.59</v>
      </c>
      <c r="R549">
        <v>137.4</v>
      </c>
      <c r="S549">
        <f>Sheet1__3_1_1_1[[#This Row],[Net_Revenue]]-Sheet1__3_1_1_1[[#This Row],[COGS]]</f>
        <v>224.18999999999997</v>
      </c>
    </row>
    <row r="550" spans="1:19" x14ac:dyDescent="0.25">
      <c r="A550" t="s">
        <v>645</v>
      </c>
      <c r="B550" s="1">
        <v>45088</v>
      </c>
      <c r="C550" t="s">
        <v>19</v>
      </c>
      <c r="D550" t="s">
        <v>91</v>
      </c>
      <c r="E550" t="s">
        <v>21</v>
      </c>
      <c r="F550" t="s">
        <v>55</v>
      </c>
      <c r="G550" t="s">
        <v>103</v>
      </c>
      <c r="H550" t="s">
        <v>106</v>
      </c>
      <c r="I550" t="s">
        <v>60</v>
      </c>
      <c r="J550" t="s">
        <v>26</v>
      </c>
      <c r="K550" t="s">
        <v>36</v>
      </c>
      <c r="L550">
        <v>194.5</v>
      </c>
      <c r="M550">
        <v>4</v>
      </c>
      <c r="N550" s="2">
        <v>0.2</v>
      </c>
      <c r="O550">
        <v>778</v>
      </c>
      <c r="P550">
        <v>155.60000000000002</v>
      </c>
      <c r="Q550">
        <f>Sheet1__3_1_1_1[[#This Row],[Gross_Revenue]]-Sheet1__3_1_1_1[[#This Row],[Discount_Amount]]</f>
        <v>622.4</v>
      </c>
      <c r="R550">
        <v>261.41000000000003</v>
      </c>
      <c r="S550">
        <f>Sheet1__3_1_1_1[[#This Row],[Net_Revenue]]-Sheet1__3_1_1_1[[#This Row],[COGS]]</f>
        <v>360.98999999999995</v>
      </c>
    </row>
    <row r="551" spans="1:19" x14ac:dyDescent="0.25">
      <c r="A551" t="s">
        <v>646</v>
      </c>
      <c r="B551" s="1">
        <v>45069</v>
      </c>
      <c r="C551" t="s">
        <v>44</v>
      </c>
      <c r="D551" t="s">
        <v>51</v>
      </c>
      <c r="E551" t="s">
        <v>66</v>
      </c>
      <c r="F551" t="s">
        <v>31</v>
      </c>
      <c r="G551" t="s">
        <v>166</v>
      </c>
      <c r="H551" t="s">
        <v>71</v>
      </c>
      <c r="I551" t="s">
        <v>48</v>
      </c>
      <c r="J551" t="s">
        <v>49</v>
      </c>
      <c r="K551" t="s">
        <v>53</v>
      </c>
      <c r="L551">
        <v>305.38</v>
      </c>
      <c r="M551">
        <v>2</v>
      </c>
      <c r="N551" s="2">
        <v>0</v>
      </c>
      <c r="O551">
        <v>610.76</v>
      </c>
      <c r="P551">
        <v>0</v>
      </c>
      <c r="Q551">
        <f>Sheet1__3_1_1_1[[#This Row],[Gross_Revenue]]-Sheet1__3_1_1_1[[#This Row],[Discount_Amount]]</f>
        <v>610.76</v>
      </c>
      <c r="R551">
        <v>293.16000000000003</v>
      </c>
      <c r="S551">
        <f>Sheet1__3_1_1_1[[#This Row],[Net_Revenue]]-Sheet1__3_1_1_1[[#This Row],[COGS]]</f>
        <v>317.59999999999997</v>
      </c>
    </row>
    <row r="552" spans="1:19" x14ac:dyDescent="0.25">
      <c r="A552" t="s">
        <v>647</v>
      </c>
      <c r="B552" s="1">
        <v>44657</v>
      </c>
      <c r="C552" t="s">
        <v>19</v>
      </c>
      <c r="D552" t="s">
        <v>130</v>
      </c>
      <c r="E552" t="s">
        <v>39</v>
      </c>
      <c r="F552" t="s">
        <v>31</v>
      </c>
      <c r="G552" t="s">
        <v>40</v>
      </c>
      <c r="H552" t="s">
        <v>106</v>
      </c>
      <c r="I552" t="s">
        <v>25</v>
      </c>
      <c r="J552" t="s">
        <v>94</v>
      </c>
      <c r="K552" t="s">
        <v>36</v>
      </c>
      <c r="L552">
        <v>247.71</v>
      </c>
      <c r="M552">
        <v>8</v>
      </c>
      <c r="N552" s="2">
        <v>0.2</v>
      </c>
      <c r="O552">
        <v>1981.68</v>
      </c>
      <c r="P552">
        <v>396.33600000000001</v>
      </c>
      <c r="Q552">
        <f>Sheet1__3_1_1_1[[#This Row],[Gross_Revenue]]-Sheet1__3_1_1_1[[#This Row],[Discount_Amount]]</f>
        <v>1585.3440000000001</v>
      </c>
      <c r="R552">
        <v>760.96</v>
      </c>
      <c r="S552">
        <f>Sheet1__3_1_1_1[[#This Row],[Net_Revenue]]-Sheet1__3_1_1_1[[#This Row],[COGS]]</f>
        <v>824.38400000000001</v>
      </c>
    </row>
    <row r="553" spans="1:19" x14ac:dyDescent="0.25">
      <c r="A553" t="s">
        <v>648</v>
      </c>
      <c r="B553" s="1">
        <v>45064</v>
      </c>
      <c r="C553" t="s">
        <v>29</v>
      </c>
      <c r="D553" t="s">
        <v>30</v>
      </c>
      <c r="E553" t="s">
        <v>21</v>
      </c>
      <c r="F553" t="s">
        <v>22</v>
      </c>
      <c r="G553" t="s">
        <v>46</v>
      </c>
      <c r="H553" t="s">
        <v>33</v>
      </c>
      <c r="I553" t="s">
        <v>48</v>
      </c>
      <c r="J553" t="s">
        <v>49</v>
      </c>
      <c r="K553" t="s">
        <v>27</v>
      </c>
      <c r="L553">
        <v>16.3</v>
      </c>
      <c r="M553">
        <v>15</v>
      </c>
      <c r="N553" s="2">
        <v>0.1</v>
      </c>
      <c r="O553">
        <v>244.5</v>
      </c>
      <c r="P553">
        <v>24.450000000000003</v>
      </c>
      <c r="Q553">
        <f>Sheet1__3_1_1_1[[#This Row],[Gross_Revenue]]-Sheet1__3_1_1_1[[#This Row],[Discount_Amount]]</f>
        <v>220.05</v>
      </c>
      <c r="R553">
        <v>121.03</v>
      </c>
      <c r="S553">
        <f>Sheet1__3_1_1_1[[#This Row],[Net_Revenue]]-Sheet1__3_1_1_1[[#This Row],[COGS]]</f>
        <v>99.02000000000001</v>
      </c>
    </row>
    <row r="554" spans="1:19" x14ac:dyDescent="0.25">
      <c r="A554" t="s">
        <v>649</v>
      </c>
      <c r="B554" s="1">
        <v>44919</v>
      </c>
      <c r="C554" t="s">
        <v>44</v>
      </c>
      <c r="D554" t="s">
        <v>45</v>
      </c>
      <c r="E554" t="s">
        <v>66</v>
      </c>
      <c r="F554" t="s">
        <v>31</v>
      </c>
      <c r="G554" t="s">
        <v>40</v>
      </c>
      <c r="H554" t="s">
        <v>33</v>
      </c>
      <c r="I554" t="s">
        <v>25</v>
      </c>
      <c r="J554" t="s">
        <v>35</v>
      </c>
      <c r="K554" t="s">
        <v>27</v>
      </c>
      <c r="L554">
        <v>274.45</v>
      </c>
      <c r="M554">
        <v>7</v>
      </c>
      <c r="N554" s="2">
        <v>0</v>
      </c>
      <c r="O554">
        <v>1921.1499999999999</v>
      </c>
      <c r="P554">
        <v>0</v>
      </c>
      <c r="Q554">
        <f>Sheet1__3_1_1_1[[#This Row],[Gross_Revenue]]-Sheet1__3_1_1_1[[#This Row],[Discount_Amount]]</f>
        <v>1921.1499999999999</v>
      </c>
      <c r="R554">
        <v>922.15</v>
      </c>
      <c r="S554">
        <f>Sheet1__3_1_1_1[[#This Row],[Net_Revenue]]-Sheet1__3_1_1_1[[#This Row],[COGS]]</f>
        <v>998.99999999999989</v>
      </c>
    </row>
    <row r="555" spans="1:19" x14ac:dyDescent="0.25">
      <c r="A555" t="s">
        <v>650</v>
      </c>
      <c r="B555" s="1">
        <v>44920</v>
      </c>
      <c r="C555" t="s">
        <v>44</v>
      </c>
      <c r="D555" t="s">
        <v>51</v>
      </c>
      <c r="E555" t="s">
        <v>66</v>
      </c>
      <c r="F555" t="s">
        <v>22</v>
      </c>
      <c r="G555" t="s">
        <v>149</v>
      </c>
      <c r="H555" t="s">
        <v>106</v>
      </c>
      <c r="I555" t="s">
        <v>60</v>
      </c>
      <c r="J555" t="s">
        <v>26</v>
      </c>
      <c r="K555" t="s">
        <v>53</v>
      </c>
      <c r="L555">
        <v>26.71</v>
      </c>
      <c r="M555">
        <v>3</v>
      </c>
      <c r="N555" s="2">
        <v>0</v>
      </c>
      <c r="O555">
        <v>80.13</v>
      </c>
      <c r="P555">
        <v>0</v>
      </c>
      <c r="Q555">
        <f>Sheet1__3_1_1_1[[#This Row],[Gross_Revenue]]-Sheet1__3_1_1_1[[#This Row],[Discount_Amount]]</f>
        <v>80.13</v>
      </c>
      <c r="R555">
        <v>44.07</v>
      </c>
      <c r="S555">
        <f>Sheet1__3_1_1_1[[#This Row],[Net_Revenue]]-Sheet1__3_1_1_1[[#This Row],[COGS]]</f>
        <v>36.059999999999995</v>
      </c>
    </row>
    <row r="556" spans="1:19" x14ac:dyDescent="0.25">
      <c r="A556" t="s">
        <v>651</v>
      </c>
      <c r="B556" s="1">
        <v>45195</v>
      </c>
      <c r="C556" t="s">
        <v>19</v>
      </c>
      <c r="D556" t="s">
        <v>20</v>
      </c>
      <c r="E556" t="s">
        <v>66</v>
      </c>
      <c r="F556" t="s">
        <v>31</v>
      </c>
      <c r="G556" t="s">
        <v>122</v>
      </c>
      <c r="H556" t="s">
        <v>33</v>
      </c>
      <c r="I556" t="s">
        <v>42</v>
      </c>
      <c r="J556" t="s">
        <v>94</v>
      </c>
      <c r="K556" t="s">
        <v>36</v>
      </c>
      <c r="L556">
        <v>386.23</v>
      </c>
      <c r="M556">
        <v>7</v>
      </c>
      <c r="N556" s="2">
        <v>0.2</v>
      </c>
      <c r="O556">
        <v>2703.61</v>
      </c>
      <c r="P556">
        <v>540.72200000000009</v>
      </c>
      <c r="Q556">
        <f>Sheet1__3_1_1_1[[#This Row],[Gross_Revenue]]-Sheet1__3_1_1_1[[#This Row],[Discount_Amount]]</f>
        <v>2162.8879999999999</v>
      </c>
      <c r="R556">
        <v>1038.19</v>
      </c>
      <c r="S556">
        <f>Sheet1__3_1_1_1[[#This Row],[Net_Revenue]]-Sheet1__3_1_1_1[[#This Row],[COGS]]</f>
        <v>1124.6979999999999</v>
      </c>
    </row>
    <row r="557" spans="1:19" x14ac:dyDescent="0.25">
      <c r="A557" t="s">
        <v>652</v>
      </c>
      <c r="B557" s="1">
        <v>44942</v>
      </c>
      <c r="C557" t="s">
        <v>44</v>
      </c>
      <c r="D557" t="s">
        <v>65</v>
      </c>
      <c r="E557" t="s">
        <v>39</v>
      </c>
      <c r="F557" t="s">
        <v>22</v>
      </c>
      <c r="G557" t="s">
        <v>149</v>
      </c>
      <c r="H557" t="s">
        <v>71</v>
      </c>
      <c r="I557" t="s">
        <v>34</v>
      </c>
      <c r="J557" t="s">
        <v>35</v>
      </c>
      <c r="K557" t="s">
        <v>36</v>
      </c>
      <c r="L557">
        <v>26.67</v>
      </c>
      <c r="M557">
        <v>5</v>
      </c>
      <c r="N557" s="2">
        <v>0.2</v>
      </c>
      <c r="O557">
        <v>133.35000000000002</v>
      </c>
      <c r="P557">
        <v>26.670000000000005</v>
      </c>
      <c r="Q557">
        <f>Sheet1__3_1_1_1[[#This Row],[Gross_Revenue]]-Sheet1__3_1_1_1[[#This Row],[Discount_Amount]]</f>
        <v>106.68000000000002</v>
      </c>
      <c r="R557">
        <v>58.67</v>
      </c>
      <c r="S557">
        <f>Sheet1__3_1_1_1[[#This Row],[Net_Revenue]]-Sheet1__3_1_1_1[[#This Row],[COGS]]</f>
        <v>48.010000000000019</v>
      </c>
    </row>
    <row r="558" spans="1:19" x14ac:dyDescent="0.25">
      <c r="A558" t="s">
        <v>653</v>
      </c>
      <c r="B558" s="1">
        <v>45110</v>
      </c>
      <c r="C558" t="s">
        <v>99</v>
      </c>
      <c r="D558" t="s">
        <v>132</v>
      </c>
      <c r="E558" t="s">
        <v>21</v>
      </c>
      <c r="F558" t="s">
        <v>31</v>
      </c>
      <c r="G558" t="s">
        <v>166</v>
      </c>
      <c r="H558" t="s">
        <v>71</v>
      </c>
      <c r="I558" t="s">
        <v>48</v>
      </c>
      <c r="J558" t="s">
        <v>89</v>
      </c>
      <c r="K558" t="s">
        <v>27</v>
      </c>
      <c r="L558">
        <v>360.24</v>
      </c>
      <c r="M558">
        <v>4</v>
      </c>
      <c r="N558" s="2">
        <v>0</v>
      </c>
      <c r="O558">
        <v>1440.96</v>
      </c>
      <c r="P558">
        <v>0</v>
      </c>
      <c r="Q558">
        <f>Sheet1__3_1_1_1[[#This Row],[Gross_Revenue]]-Sheet1__3_1_1_1[[#This Row],[Discount_Amount]]</f>
        <v>1440.96</v>
      </c>
      <c r="R558">
        <v>691.66</v>
      </c>
      <c r="S558">
        <f>Sheet1__3_1_1_1[[#This Row],[Net_Revenue]]-Sheet1__3_1_1_1[[#This Row],[COGS]]</f>
        <v>749.30000000000007</v>
      </c>
    </row>
    <row r="559" spans="1:19" x14ac:dyDescent="0.25">
      <c r="A559" t="s">
        <v>654</v>
      </c>
      <c r="B559" s="1">
        <v>44781</v>
      </c>
      <c r="C559" t="s">
        <v>29</v>
      </c>
      <c r="D559" t="s">
        <v>38</v>
      </c>
      <c r="E559" t="s">
        <v>63</v>
      </c>
      <c r="F559" t="s">
        <v>55</v>
      </c>
      <c r="G559" t="s">
        <v>120</v>
      </c>
      <c r="H559" t="s">
        <v>106</v>
      </c>
      <c r="I559" t="s">
        <v>48</v>
      </c>
      <c r="J559" t="s">
        <v>94</v>
      </c>
      <c r="K559" t="s">
        <v>36</v>
      </c>
      <c r="L559">
        <v>128.55000000000001</v>
      </c>
      <c r="M559">
        <v>3</v>
      </c>
      <c r="N559" s="2">
        <v>0</v>
      </c>
      <c r="O559">
        <v>385.65000000000003</v>
      </c>
      <c r="P559">
        <v>0</v>
      </c>
      <c r="Q559">
        <f>Sheet1__3_1_1_1[[#This Row],[Gross_Revenue]]-Sheet1__3_1_1_1[[#This Row],[Discount_Amount]]</f>
        <v>385.65000000000003</v>
      </c>
      <c r="R559">
        <v>161.97</v>
      </c>
      <c r="S559">
        <f>Sheet1__3_1_1_1[[#This Row],[Net_Revenue]]-Sheet1__3_1_1_1[[#This Row],[COGS]]</f>
        <v>223.68000000000004</v>
      </c>
    </row>
    <row r="560" spans="1:19" x14ac:dyDescent="0.25">
      <c r="A560" t="s">
        <v>655</v>
      </c>
      <c r="B560" s="1">
        <v>44671</v>
      </c>
      <c r="C560" t="s">
        <v>29</v>
      </c>
      <c r="D560" t="s">
        <v>38</v>
      </c>
      <c r="E560" t="s">
        <v>63</v>
      </c>
      <c r="F560" t="s">
        <v>31</v>
      </c>
      <c r="G560" t="s">
        <v>93</v>
      </c>
      <c r="H560" t="s">
        <v>87</v>
      </c>
      <c r="I560" t="s">
        <v>25</v>
      </c>
      <c r="J560" t="s">
        <v>89</v>
      </c>
      <c r="K560" t="s">
        <v>53</v>
      </c>
      <c r="L560">
        <v>162.75</v>
      </c>
      <c r="M560">
        <v>7</v>
      </c>
      <c r="N560" s="2">
        <v>0.15</v>
      </c>
      <c r="O560">
        <v>1139.25</v>
      </c>
      <c r="P560">
        <v>170.88749999999999</v>
      </c>
      <c r="Q560">
        <f>Sheet1__3_1_1_1[[#This Row],[Gross_Revenue]]-Sheet1__3_1_1_1[[#This Row],[Discount_Amount]]</f>
        <v>968.36249999999995</v>
      </c>
      <c r="R560">
        <v>464.81</v>
      </c>
      <c r="S560">
        <f>Sheet1__3_1_1_1[[#This Row],[Net_Revenue]]-Sheet1__3_1_1_1[[#This Row],[COGS]]</f>
        <v>503.55249999999995</v>
      </c>
    </row>
    <row r="561" spans="1:19" x14ac:dyDescent="0.25">
      <c r="A561" t="s">
        <v>656</v>
      </c>
      <c r="B561" s="1">
        <v>44806</v>
      </c>
      <c r="C561" t="s">
        <v>29</v>
      </c>
      <c r="D561" t="s">
        <v>38</v>
      </c>
      <c r="E561" t="s">
        <v>63</v>
      </c>
      <c r="F561" t="s">
        <v>55</v>
      </c>
      <c r="G561" t="s">
        <v>120</v>
      </c>
      <c r="H561" t="s">
        <v>57</v>
      </c>
      <c r="I561" t="s">
        <v>25</v>
      </c>
      <c r="J561" t="s">
        <v>89</v>
      </c>
      <c r="K561" t="s">
        <v>143</v>
      </c>
      <c r="L561">
        <v>136.46</v>
      </c>
      <c r="M561">
        <v>8</v>
      </c>
      <c r="N561" s="2">
        <v>0.2</v>
      </c>
      <c r="O561">
        <v>1091.68</v>
      </c>
      <c r="P561">
        <v>218.33600000000001</v>
      </c>
      <c r="Q561">
        <f>Sheet1__3_1_1_1[[#This Row],[Gross_Revenue]]-Sheet1__3_1_1_1[[#This Row],[Discount_Amount]]</f>
        <v>873.34400000000005</v>
      </c>
      <c r="R561">
        <v>366.8</v>
      </c>
      <c r="S561">
        <f>Sheet1__3_1_1_1[[#This Row],[Net_Revenue]]-Sheet1__3_1_1_1[[#This Row],[COGS]]</f>
        <v>506.54400000000004</v>
      </c>
    </row>
    <row r="562" spans="1:19" x14ac:dyDescent="0.25">
      <c r="A562" t="s">
        <v>657</v>
      </c>
      <c r="B562" s="1">
        <v>44884</v>
      </c>
      <c r="C562" t="s">
        <v>77</v>
      </c>
      <c r="D562" t="s">
        <v>78</v>
      </c>
      <c r="E562" t="s">
        <v>63</v>
      </c>
      <c r="F562" t="s">
        <v>55</v>
      </c>
      <c r="G562" t="s">
        <v>56</v>
      </c>
      <c r="H562" t="s">
        <v>106</v>
      </c>
      <c r="I562" t="s">
        <v>25</v>
      </c>
      <c r="J562" t="s">
        <v>49</v>
      </c>
      <c r="K562" t="s">
        <v>53</v>
      </c>
      <c r="L562">
        <v>55.69</v>
      </c>
      <c r="M562">
        <v>6</v>
      </c>
      <c r="N562" s="2">
        <v>0.15</v>
      </c>
      <c r="O562">
        <v>334.14</v>
      </c>
      <c r="P562">
        <v>50.120999999999995</v>
      </c>
      <c r="Q562">
        <f>Sheet1__3_1_1_1[[#This Row],[Gross_Revenue]]-Sheet1__3_1_1_1[[#This Row],[Discount_Amount]]</f>
        <v>284.01900000000001</v>
      </c>
      <c r="R562">
        <v>119.29</v>
      </c>
      <c r="S562">
        <f>Sheet1__3_1_1_1[[#This Row],[Net_Revenue]]-Sheet1__3_1_1_1[[#This Row],[COGS]]</f>
        <v>164.72899999999998</v>
      </c>
    </row>
    <row r="563" spans="1:19" x14ac:dyDescent="0.25">
      <c r="A563" t="s">
        <v>658</v>
      </c>
      <c r="B563" s="1">
        <v>44637</v>
      </c>
      <c r="C563" t="s">
        <v>77</v>
      </c>
      <c r="D563" t="s">
        <v>110</v>
      </c>
      <c r="E563" t="s">
        <v>66</v>
      </c>
      <c r="F563" t="s">
        <v>31</v>
      </c>
      <c r="G563" t="s">
        <v>40</v>
      </c>
      <c r="H563" t="s">
        <v>57</v>
      </c>
      <c r="I563" t="s">
        <v>42</v>
      </c>
      <c r="J563" t="s">
        <v>35</v>
      </c>
      <c r="K563" t="s">
        <v>36</v>
      </c>
      <c r="L563">
        <v>193.78</v>
      </c>
      <c r="M563">
        <v>7</v>
      </c>
      <c r="N563" s="2">
        <v>0</v>
      </c>
      <c r="O563">
        <v>1356.46</v>
      </c>
      <c r="P563">
        <v>0</v>
      </c>
      <c r="Q563">
        <f>Sheet1__3_1_1_1[[#This Row],[Gross_Revenue]]-Sheet1__3_1_1_1[[#This Row],[Discount_Amount]]</f>
        <v>1356.46</v>
      </c>
      <c r="R563">
        <v>651.1</v>
      </c>
      <c r="S563">
        <f>Sheet1__3_1_1_1[[#This Row],[Net_Revenue]]-Sheet1__3_1_1_1[[#This Row],[COGS]]</f>
        <v>705.36</v>
      </c>
    </row>
    <row r="564" spans="1:19" x14ac:dyDescent="0.25">
      <c r="A564" t="s">
        <v>659</v>
      </c>
      <c r="B564" s="1">
        <v>44635</v>
      </c>
      <c r="C564" t="s">
        <v>19</v>
      </c>
      <c r="D564" t="s">
        <v>130</v>
      </c>
      <c r="E564" t="s">
        <v>21</v>
      </c>
      <c r="F564" t="s">
        <v>69</v>
      </c>
      <c r="G564" t="s">
        <v>73</v>
      </c>
      <c r="H564" t="s">
        <v>24</v>
      </c>
      <c r="I564" t="s">
        <v>34</v>
      </c>
      <c r="J564" t="s">
        <v>94</v>
      </c>
      <c r="K564" t="s">
        <v>53</v>
      </c>
      <c r="L564">
        <v>11.87</v>
      </c>
      <c r="M564">
        <v>11</v>
      </c>
      <c r="N564" s="2">
        <v>0</v>
      </c>
      <c r="O564">
        <v>130.57</v>
      </c>
      <c r="P564">
        <v>0</v>
      </c>
      <c r="Q564">
        <f>Sheet1__3_1_1_1[[#This Row],[Gross_Revenue]]-Sheet1__3_1_1_1[[#This Row],[Discount_Amount]]</f>
        <v>130.57</v>
      </c>
      <c r="R564">
        <v>49.62</v>
      </c>
      <c r="S564">
        <f>Sheet1__3_1_1_1[[#This Row],[Net_Revenue]]-Sheet1__3_1_1_1[[#This Row],[COGS]]</f>
        <v>80.949999999999989</v>
      </c>
    </row>
    <row r="565" spans="1:19" x14ac:dyDescent="0.25">
      <c r="A565" t="s">
        <v>660</v>
      </c>
      <c r="B565" s="1">
        <v>44929</v>
      </c>
      <c r="C565" t="s">
        <v>29</v>
      </c>
      <c r="D565" t="s">
        <v>30</v>
      </c>
      <c r="E565" t="s">
        <v>39</v>
      </c>
      <c r="F565" t="s">
        <v>31</v>
      </c>
      <c r="G565" t="s">
        <v>32</v>
      </c>
      <c r="H565" t="s">
        <v>106</v>
      </c>
      <c r="I565" t="s">
        <v>48</v>
      </c>
      <c r="J565" t="s">
        <v>89</v>
      </c>
      <c r="K565" t="s">
        <v>143</v>
      </c>
      <c r="L565">
        <v>385.19</v>
      </c>
      <c r="M565">
        <v>8</v>
      </c>
      <c r="N565" s="2">
        <v>0.05</v>
      </c>
      <c r="O565">
        <v>3081.52</v>
      </c>
      <c r="P565">
        <v>154.07600000000002</v>
      </c>
      <c r="Q565">
        <f>Sheet1__3_1_1_1[[#This Row],[Gross_Revenue]]-Sheet1__3_1_1_1[[#This Row],[Discount_Amount]]</f>
        <v>2927.444</v>
      </c>
      <c r="R565">
        <v>1405.17</v>
      </c>
      <c r="S565">
        <f>Sheet1__3_1_1_1[[#This Row],[Net_Revenue]]-Sheet1__3_1_1_1[[#This Row],[COGS]]</f>
        <v>1522.2739999999999</v>
      </c>
    </row>
    <row r="566" spans="1:19" x14ac:dyDescent="0.25">
      <c r="A566" t="s">
        <v>661</v>
      </c>
      <c r="B566" s="1">
        <v>45144</v>
      </c>
      <c r="C566" t="s">
        <v>19</v>
      </c>
      <c r="D566" t="s">
        <v>130</v>
      </c>
      <c r="E566" t="s">
        <v>39</v>
      </c>
      <c r="F566" t="s">
        <v>79</v>
      </c>
      <c r="G566" t="s">
        <v>56</v>
      </c>
      <c r="H566" t="s">
        <v>87</v>
      </c>
      <c r="I566" t="s">
        <v>42</v>
      </c>
      <c r="J566" t="s">
        <v>94</v>
      </c>
      <c r="K566" t="s">
        <v>36</v>
      </c>
      <c r="L566">
        <v>46.13</v>
      </c>
      <c r="M566">
        <v>1</v>
      </c>
      <c r="N566" s="2">
        <v>0.05</v>
      </c>
      <c r="O566">
        <v>46.13</v>
      </c>
      <c r="P566">
        <v>2.3065000000000002</v>
      </c>
      <c r="Q566">
        <f>Sheet1__3_1_1_1[[#This Row],[Gross_Revenue]]-Sheet1__3_1_1_1[[#This Row],[Discount_Amount]]</f>
        <v>43.823500000000003</v>
      </c>
      <c r="R566">
        <v>27.17</v>
      </c>
      <c r="S566">
        <f>Sheet1__3_1_1_1[[#This Row],[Net_Revenue]]-Sheet1__3_1_1_1[[#This Row],[COGS]]</f>
        <v>16.653500000000001</v>
      </c>
    </row>
    <row r="567" spans="1:19" x14ac:dyDescent="0.25">
      <c r="A567" t="s">
        <v>662</v>
      </c>
      <c r="B567" s="1">
        <v>44950</v>
      </c>
      <c r="C567" t="s">
        <v>19</v>
      </c>
      <c r="D567" t="s">
        <v>91</v>
      </c>
      <c r="E567" t="s">
        <v>39</v>
      </c>
      <c r="F567" t="s">
        <v>22</v>
      </c>
      <c r="G567" t="s">
        <v>113</v>
      </c>
      <c r="H567" t="s">
        <v>111</v>
      </c>
      <c r="I567" t="s">
        <v>42</v>
      </c>
      <c r="J567" t="s">
        <v>26</v>
      </c>
      <c r="K567" t="s">
        <v>27</v>
      </c>
      <c r="L567" t="s">
        <v>1147</v>
      </c>
      <c r="M567">
        <v>14</v>
      </c>
      <c r="N567" s="2">
        <v>0</v>
      </c>
      <c r="O567">
        <v>0</v>
      </c>
      <c r="P567">
        <v>0</v>
      </c>
      <c r="Q567">
        <f>Sheet1__3_1_1_1[[#This Row],[Gross_Revenue]]-Sheet1__3_1_1_1[[#This Row],[Discount_Amount]]</f>
        <v>0</v>
      </c>
      <c r="R567" t="s">
        <v>1147</v>
      </c>
      <c r="S567" t="e">
        <f>Sheet1__3_1_1_1[[#This Row],[Net_Revenue]]-Sheet1__3_1_1_1[[#This Row],[COGS]]</f>
        <v>#VALUE!</v>
      </c>
    </row>
    <row r="568" spans="1:19" x14ac:dyDescent="0.25">
      <c r="A568" t="s">
        <v>663</v>
      </c>
      <c r="B568" s="1">
        <v>44720</v>
      </c>
      <c r="C568" t="s">
        <v>19</v>
      </c>
      <c r="D568" t="s">
        <v>91</v>
      </c>
      <c r="E568" t="s">
        <v>63</v>
      </c>
      <c r="F568" t="s">
        <v>31</v>
      </c>
      <c r="G568" t="s">
        <v>32</v>
      </c>
      <c r="H568" t="s">
        <v>108</v>
      </c>
      <c r="I568" t="s">
        <v>34</v>
      </c>
      <c r="J568" t="s">
        <v>89</v>
      </c>
      <c r="K568" t="s">
        <v>36</v>
      </c>
      <c r="L568">
        <v>332.09</v>
      </c>
      <c r="M568">
        <v>3</v>
      </c>
      <c r="N568" s="2">
        <v>0.15</v>
      </c>
      <c r="O568">
        <v>996.27</v>
      </c>
      <c r="P568">
        <v>149.44049999999999</v>
      </c>
      <c r="Q568">
        <f>Sheet1__3_1_1_1[[#This Row],[Gross_Revenue]]-Sheet1__3_1_1_1[[#This Row],[Discount_Amount]]</f>
        <v>846.82950000000005</v>
      </c>
      <c r="R568">
        <v>406.48</v>
      </c>
      <c r="S568">
        <f>Sheet1__3_1_1_1[[#This Row],[Net_Revenue]]-Sheet1__3_1_1_1[[#This Row],[COGS]]</f>
        <v>440.34950000000003</v>
      </c>
    </row>
    <row r="569" spans="1:19" x14ac:dyDescent="0.25">
      <c r="A569" t="s">
        <v>664</v>
      </c>
      <c r="B569" s="1">
        <v>44737</v>
      </c>
      <c r="C569" t="s">
        <v>29</v>
      </c>
      <c r="D569" t="s">
        <v>62</v>
      </c>
      <c r="E569" t="s">
        <v>66</v>
      </c>
      <c r="F569" t="s">
        <v>55</v>
      </c>
      <c r="G569" t="s">
        <v>56</v>
      </c>
      <c r="H569" t="s">
        <v>52</v>
      </c>
      <c r="I569" t="s">
        <v>34</v>
      </c>
      <c r="J569" t="s">
        <v>26</v>
      </c>
      <c r="K569" t="s">
        <v>53</v>
      </c>
      <c r="L569">
        <v>39.4</v>
      </c>
      <c r="M569">
        <v>6</v>
      </c>
      <c r="N569" s="2">
        <v>0</v>
      </c>
      <c r="O569">
        <v>236.39999999999998</v>
      </c>
      <c r="P569">
        <v>0</v>
      </c>
      <c r="Q569">
        <f>Sheet1__3_1_1_1[[#This Row],[Gross_Revenue]]-Sheet1__3_1_1_1[[#This Row],[Discount_Amount]]</f>
        <v>236.39999999999998</v>
      </c>
      <c r="R569">
        <v>99.29</v>
      </c>
      <c r="S569">
        <f>Sheet1__3_1_1_1[[#This Row],[Net_Revenue]]-Sheet1__3_1_1_1[[#This Row],[COGS]]</f>
        <v>137.10999999999996</v>
      </c>
    </row>
    <row r="570" spans="1:19" x14ac:dyDescent="0.25">
      <c r="A570" t="s">
        <v>665</v>
      </c>
      <c r="B570" s="1">
        <v>45055</v>
      </c>
      <c r="C570" t="s">
        <v>29</v>
      </c>
      <c r="D570" t="s">
        <v>30</v>
      </c>
      <c r="E570" t="s">
        <v>66</v>
      </c>
      <c r="F570" t="s">
        <v>55</v>
      </c>
      <c r="G570" t="s">
        <v>83</v>
      </c>
      <c r="H570" t="s">
        <v>71</v>
      </c>
      <c r="I570" t="s">
        <v>48</v>
      </c>
      <c r="J570" t="s">
        <v>89</v>
      </c>
      <c r="K570" t="s">
        <v>36</v>
      </c>
      <c r="L570">
        <v>52.41</v>
      </c>
      <c r="M570">
        <v>8</v>
      </c>
      <c r="N570" s="2">
        <v>0</v>
      </c>
      <c r="O570">
        <v>419.28</v>
      </c>
      <c r="P570">
        <v>0</v>
      </c>
      <c r="Q570">
        <f>Sheet1__3_1_1_1[[#This Row],[Gross_Revenue]]-Sheet1__3_1_1_1[[#This Row],[Discount_Amount]]</f>
        <v>419.28</v>
      </c>
      <c r="R570">
        <v>176.1</v>
      </c>
      <c r="S570">
        <f>Sheet1__3_1_1_1[[#This Row],[Net_Revenue]]-Sheet1__3_1_1_1[[#This Row],[COGS]]</f>
        <v>243.17999999999998</v>
      </c>
    </row>
    <row r="571" spans="1:19" x14ac:dyDescent="0.25">
      <c r="A571" t="s">
        <v>666</v>
      </c>
      <c r="B571" s="1">
        <v>44573</v>
      </c>
      <c r="C571" t="s">
        <v>29</v>
      </c>
      <c r="D571" t="s">
        <v>62</v>
      </c>
      <c r="E571" t="s">
        <v>63</v>
      </c>
      <c r="F571" t="s">
        <v>79</v>
      </c>
      <c r="G571" t="s">
        <v>85</v>
      </c>
      <c r="H571" t="s">
        <v>24</v>
      </c>
      <c r="I571" t="s">
        <v>42</v>
      </c>
      <c r="J571" t="s">
        <v>35</v>
      </c>
      <c r="K571" t="s">
        <v>143</v>
      </c>
      <c r="L571">
        <v>750.6</v>
      </c>
      <c r="M571">
        <v>4</v>
      </c>
      <c r="N571" s="2">
        <v>0.05</v>
      </c>
      <c r="O571">
        <v>3002.4</v>
      </c>
      <c r="P571">
        <v>150.12</v>
      </c>
      <c r="Q571">
        <f>Sheet1__3_1_1_1[[#This Row],[Gross_Revenue]]-Sheet1__3_1_1_1[[#This Row],[Discount_Amount]]</f>
        <v>2852.28</v>
      </c>
      <c r="R571">
        <v>1768.41</v>
      </c>
      <c r="S571">
        <f>Sheet1__3_1_1_1[[#This Row],[Net_Revenue]]-Sheet1__3_1_1_1[[#This Row],[COGS]]</f>
        <v>1083.8700000000001</v>
      </c>
    </row>
    <row r="572" spans="1:19" x14ac:dyDescent="0.25">
      <c r="A572" t="s">
        <v>667</v>
      </c>
      <c r="B572" s="1">
        <v>45155</v>
      </c>
      <c r="C572" t="s">
        <v>44</v>
      </c>
      <c r="D572" t="s">
        <v>45</v>
      </c>
      <c r="E572" t="s">
        <v>66</v>
      </c>
      <c r="F572" t="s">
        <v>69</v>
      </c>
      <c r="G572" t="s">
        <v>101</v>
      </c>
      <c r="H572" t="s">
        <v>87</v>
      </c>
      <c r="I572" t="s">
        <v>48</v>
      </c>
      <c r="J572" t="s">
        <v>94</v>
      </c>
      <c r="K572" t="s">
        <v>36</v>
      </c>
      <c r="L572">
        <v>7.49</v>
      </c>
      <c r="M572">
        <v>13</v>
      </c>
      <c r="N572" s="2">
        <v>0.15</v>
      </c>
      <c r="O572">
        <v>97.37</v>
      </c>
      <c r="P572">
        <v>14.605499999999999</v>
      </c>
      <c r="Q572">
        <f>Sheet1__3_1_1_1[[#This Row],[Gross_Revenue]]-Sheet1__3_1_1_1[[#This Row],[Discount_Amount]]</f>
        <v>82.764499999999998</v>
      </c>
      <c r="R572">
        <v>31.45</v>
      </c>
      <c r="S572">
        <f>Sheet1__3_1_1_1[[#This Row],[Net_Revenue]]-Sheet1__3_1_1_1[[#This Row],[COGS]]</f>
        <v>51.314499999999995</v>
      </c>
    </row>
    <row r="573" spans="1:19" x14ac:dyDescent="0.25">
      <c r="A573" t="s">
        <v>668</v>
      </c>
      <c r="B573" s="1">
        <v>44630</v>
      </c>
      <c r="C573" t="s">
        <v>29</v>
      </c>
      <c r="D573" t="s">
        <v>30</v>
      </c>
      <c r="E573" t="s">
        <v>66</v>
      </c>
      <c r="F573" t="s">
        <v>31</v>
      </c>
      <c r="G573" t="s">
        <v>122</v>
      </c>
      <c r="H573" t="s">
        <v>24</v>
      </c>
      <c r="I573" t="s">
        <v>25</v>
      </c>
      <c r="J573" t="s">
        <v>89</v>
      </c>
      <c r="K573" t="s">
        <v>36</v>
      </c>
      <c r="L573">
        <v>409.99</v>
      </c>
      <c r="M573">
        <v>3</v>
      </c>
      <c r="N573" s="2">
        <v>0</v>
      </c>
      <c r="O573">
        <v>1229.97</v>
      </c>
      <c r="P573">
        <v>0</v>
      </c>
      <c r="Q573">
        <f>Sheet1__3_1_1_1[[#This Row],[Gross_Revenue]]-Sheet1__3_1_1_1[[#This Row],[Discount_Amount]]</f>
        <v>1229.97</v>
      </c>
      <c r="R573">
        <v>590.39</v>
      </c>
      <c r="S573">
        <f>Sheet1__3_1_1_1[[#This Row],[Net_Revenue]]-Sheet1__3_1_1_1[[#This Row],[COGS]]</f>
        <v>639.58000000000004</v>
      </c>
    </row>
    <row r="574" spans="1:19" x14ac:dyDescent="0.25">
      <c r="A574" t="s">
        <v>669</v>
      </c>
      <c r="B574" s="1">
        <v>44764</v>
      </c>
      <c r="C574" t="s">
        <v>99</v>
      </c>
      <c r="D574" t="s">
        <v>148</v>
      </c>
      <c r="E574" t="s">
        <v>39</v>
      </c>
      <c r="F574" t="s">
        <v>79</v>
      </c>
      <c r="G574" t="s">
        <v>80</v>
      </c>
      <c r="H574" t="s">
        <v>24</v>
      </c>
      <c r="I574" t="s">
        <v>25</v>
      </c>
      <c r="J574" t="s">
        <v>26</v>
      </c>
      <c r="K574" t="s">
        <v>27</v>
      </c>
      <c r="L574">
        <v>688.28</v>
      </c>
      <c r="M574">
        <v>3</v>
      </c>
      <c r="N574" s="2">
        <v>0.2</v>
      </c>
      <c r="O574">
        <v>2064.84</v>
      </c>
      <c r="P574">
        <v>412.96800000000007</v>
      </c>
      <c r="Q574">
        <f>Sheet1__3_1_1_1[[#This Row],[Gross_Revenue]]-Sheet1__3_1_1_1[[#This Row],[Discount_Amount]]</f>
        <v>1651.8720000000001</v>
      </c>
      <c r="R574">
        <v>1024.1600000000001</v>
      </c>
      <c r="S574">
        <f>Sheet1__3_1_1_1[[#This Row],[Net_Revenue]]-Sheet1__3_1_1_1[[#This Row],[COGS]]</f>
        <v>627.71199999999999</v>
      </c>
    </row>
    <row r="575" spans="1:19" x14ac:dyDescent="0.25">
      <c r="A575" t="s">
        <v>670</v>
      </c>
      <c r="B575" s="1">
        <v>44625</v>
      </c>
      <c r="C575" t="s">
        <v>99</v>
      </c>
      <c r="D575" t="s">
        <v>100</v>
      </c>
      <c r="E575" t="s">
        <v>21</v>
      </c>
      <c r="F575" t="s">
        <v>31</v>
      </c>
      <c r="G575" t="s">
        <v>122</v>
      </c>
      <c r="H575" t="s">
        <v>41</v>
      </c>
      <c r="I575" t="s">
        <v>25</v>
      </c>
      <c r="J575" t="s">
        <v>89</v>
      </c>
      <c r="K575" t="s">
        <v>53</v>
      </c>
      <c r="L575">
        <v>554.70000000000005</v>
      </c>
      <c r="M575">
        <v>8</v>
      </c>
      <c r="N575" s="2">
        <v>0.1</v>
      </c>
      <c r="O575">
        <v>4437.6000000000004</v>
      </c>
      <c r="P575">
        <v>443.76000000000005</v>
      </c>
      <c r="Q575">
        <f>Sheet1__3_1_1_1[[#This Row],[Gross_Revenue]]-Sheet1__3_1_1_1[[#This Row],[Discount_Amount]]</f>
        <v>3993.84</v>
      </c>
      <c r="R575">
        <v>1917.04</v>
      </c>
      <c r="S575">
        <f>Sheet1__3_1_1_1[[#This Row],[Net_Revenue]]-Sheet1__3_1_1_1[[#This Row],[COGS]]</f>
        <v>2076.8000000000002</v>
      </c>
    </row>
    <row r="576" spans="1:19" x14ac:dyDescent="0.25">
      <c r="A576" t="s">
        <v>671</v>
      </c>
      <c r="B576" s="1">
        <v>44845</v>
      </c>
      <c r="C576" t="s">
        <v>77</v>
      </c>
      <c r="D576" t="s">
        <v>110</v>
      </c>
      <c r="E576" t="s">
        <v>39</v>
      </c>
      <c r="F576" t="s">
        <v>69</v>
      </c>
      <c r="G576" t="s">
        <v>190</v>
      </c>
      <c r="H576" t="s">
        <v>57</v>
      </c>
      <c r="I576" t="s">
        <v>34</v>
      </c>
      <c r="J576" t="s">
        <v>26</v>
      </c>
      <c r="K576" t="s">
        <v>36</v>
      </c>
      <c r="L576">
        <v>18.100000000000001</v>
      </c>
      <c r="M576">
        <v>2</v>
      </c>
      <c r="N576" s="2">
        <v>0</v>
      </c>
      <c r="O576">
        <v>36.200000000000003</v>
      </c>
      <c r="P576">
        <v>0</v>
      </c>
      <c r="Q576">
        <f>Sheet1__3_1_1_1[[#This Row],[Gross_Revenue]]-Sheet1__3_1_1_1[[#This Row],[Discount_Amount]]</f>
        <v>36.200000000000003</v>
      </c>
      <c r="R576">
        <v>13.76</v>
      </c>
      <c r="S576">
        <f>Sheet1__3_1_1_1[[#This Row],[Net_Revenue]]-Sheet1__3_1_1_1[[#This Row],[COGS]]</f>
        <v>22.440000000000005</v>
      </c>
    </row>
    <row r="577" spans="1:19" x14ac:dyDescent="0.25">
      <c r="A577" t="s">
        <v>672</v>
      </c>
      <c r="B577" s="1">
        <v>44711</v>
      </c>
      <c r="C577" t="s">
        <v>77</v>
      </c>
      <c r="D577" t="s">
        <v>82</v>
      </c>
      <c r="E577" t="s">
        <v>21</v>
      </c>
      <c r="F577" t="s">
        <v>22</v>
      </c>
      <c r="G577" t="s">
        <v>23</v>
      </c>
      <c r="H577" t="s">
        <v>24</v>
      </c>
      <c r="I577" t="s">
        <v>34</v>
      </c>
      <c r="J577" t="s">
        <v>94</v>
      </c>
      <c r="K577" t="s">
        <v>53</v>
      </c>
      <c r="L577">
        <v>16.95</v>
      </c>
      <c r="M577">
        <v>8</v>
      </c>
      <c r="N577" s="2">
        <v>0</v>
      </c>
      <c r="O577">
        <v>135.6</v>
      </c>
      <c r="P577">
        <v>0</v>
      </c>
      <c r="Q577">
        <f>Sheet1__3_1_1_1[[#This Row],[Gross_Revenue]]-Sheet1__3_1_1_1[[#This Row],[Discount_Amount]]</f>
        <v>135.6</v>
      </c>
      <c r="R577">
        <v>74.58</v>
      </c>
      <c r="S577">
        <f>Sheet1__3_1_1_1[[#This Row],[Net_Revenue]]-Sheet1__3_1_1_1[[#This Row],[COGS]]</f>
        <v>61.019999999999996</v>
      </c>
    </row>
    <row r="578" spans="1:19" x14ac:dyDescent="0.25">
      <c r="A578" t="s">
        <v>673</v>
      </c>
      <c r="B578" s="1">
        <v>44701</v>
      </c>
      <c r="C578" t="s">
        <v>77</v>
      </c>
      <c r="D578" t="s">
        <v>82</v>
      </c>
      <c r="E578" t="s">
        <v>21</v>
      </c>
      <c r="F578" t="s">
        <v>31</v>
      </c>
      <c r="G578" t="s">
        <v>32</v>
      </c>
      <c r="H578" t="s">
        <v>111</v>
      </c>
      <c r="I578" t="s">
        <v>34</v>
      </c>
      <c r="J578" t="s">
        <v>89</v>
      </c>
      <c r="K578" t="s">
        <v>143</v>
      </c>
      <c r="L578">
        <v>397.7</v>
      </c>
      <c r="M578">
        <v>7</v>
      </c>
      <c r="N578" s="2">
        <v>0.05</v>
      </c>
      <c r="O578">
        <v>2783.9</v>
      </c>
      <c r="P578">
        <v>139.19500000000002</v>
      </c>
      <c r="Q578">
        <f>Sheet1__3_1_1_1[[#This Row],[Gross_Revenue]]-Sheet1__3_1_1_1[[#This Row],[Discount_Amount]]</f>
        <v>2644.7049999999999</v>
      </c>
      <c r="R578">
        <v>1269.46</v>
      </c>
      <c r="S578">
        <f>Sheet1__3_1_1_1[[#This Row],[Net_Revenue]]-Sheet1__3_1_1_1[[#This Row],[COGS]]</f>
        <v>1375.2449999999999</v>
      </c>
    </row>
    <row r="579" spans="1:19" x14ac:dyDescent="0.25">
      <c r="A579" t="s">
        <v>674</v>
      </c>
      <c r="B579" s="1">
        <v>45009</v>
      </c>
      <c r="C579" t="s">
        <v>19</v>
      </c>
      <c r="D579" t="s">
        <v>20</v>
      </c>
      <c r="E579" t="s">
        <v>63</v>
      </c>
      <c r="F579" t="s">
        <v>22</v>
      </c>
      <c r="G579" t="s">
        <v>149</v>
      </c>
      <c r="H579" t="s">
        <v>24</v>
      </c>
      <c r="I579" t="s">
        <v>34</v>
      </c>
      <c r="J579" t="s">
        <v>49</v>
      </c>
      <c r="K579" t="s">
        <v>143</v>
      </c>
      <c r="L579">
        <v>24.12</v>
      </c>
      <c r="M579">
        <v>14</v>
      </c>
      <c r="N579" s="2">
        <v>0</v>
      </c>
      <c r="O579">
        <v>337.68</v>
      </c>
      <c r="P579">
        <v>0</v>
      </c>
      <c r="Q579">
        <f>Sheet1__3_1_1_1[[#This Row],[Gross_Revenue]]-Sheet1__3_1_1_1[[#This Row],[Discount_Amount]]</f>
        <v>337.68</v>
      </c>
      <c r="R579">
        <v>185.72</v>
      </c>
      <c r="S579">
        <f>Sheet1__3_1_1_1[[#This Row],[Net_Revenue]]-Sheet1__3_1_1_1[[#This Row],[COGS]]</f>
        <v>151.96</v>
      </c>
    </row>
    <row r="580" spans="1:19" x14ac:dyDescent="0.25">
      <c r="A580" t="s">
        <v>675</v>
      </c>
      <c r="B580" s="1">
        <v>44737</v>
      </c>
      <c r="C580" t="s">
        <v>19</v>
      </c>
      <c r="D580" t="s">
        <v>91</v>
      </c>
      <c r="E580" t="s">
        <v>66</v>
      </c>
      <c r="F580" t="s">
        <v>22</v>
      </c>
      <c r="G580" t="s">
        <v>23</v>
      </c>
      <c r="H580" t="s">
        <v>52</v>
      </c>
      <c r="I580" t="s">
        <v>25</v>
      </c>
      <c r="J580" t="s">
        <v>49</v>
      </c>
      <c r="K580" t="s">
        <v>36</v>
      </c>
      <c r="L580">
        <v>14.02</v>
      </c>
      <c r="M580">
        <v>5</v>
      </c>
      <c r="N580" s="2">
        <v>0.05</v>
      </c>
      <c r="O580">
        <v>70.099999999999994</v>
      </c>
      <c r="P580">
        <v>3.5049999999999999</v>
      </c>
      <c r="Q580">
        <f>Sheet1__3_1_1_1[[#This Row],[Gross_Revenue]]-Sheet1__3_1_1_1[[#This Row],[Discount_Amount]]</f>
        <v>66.594999999999999</v>
      </c>
      <c r="R580">
        <v>36.630000000000003</v>
      </c>
      <c r="S580">
        <f>Sheet1__3_1_1_1[[#This Row],[Net_Revenue]]-Sheet1__3_1_1_1[[#This Row],[COGS]]</f>
        <v>29.964999999999996</v>
      </c>
    </row>
    <row r="581" spans="1:19" x14ac:dyDescent="0.25">
      <c r="A581" t="s">
        <v>676</v>
      </c>
      <c r="B581" s="1">
        <v>45109</v>
      </c>
      <c r="C581" t="s">
        <v>44</v>
      </c>
      <c r="D581" t="s">
        <v>65</v>
      </c>
      <c r="E581" t="s">
        <v>21</v>
      </c>
      <c r="F581" t="s">
        <v>79</v>
      </c>
      <c r="G581" t="s">
        <v>56</v>
      </c>
      <c r="H581" t="s">
        <v>33</v>
      </c>
      <c r="I581" t="s">
        <v>48</v>
      </c>
      <c r="J581" t="s">
        <v>35</v>
      </c>
      <c r="K581" t="s">
        <v>36</v>
      </c>
      <c r="L581">
        <v>52.6</v>
      </c>
      <c r="M581">
        <v>3</v>
      </c>
      <c r="N581" s="2">
        <v>0.15</v>
      </c>
      <c r="O581">
        <v>157.80000000000001</v>
      </c>
      <c r="P581">
        <v>23.67</v>
      </c>
      <c r="Q581">
        <f>Sheet1__3_1_1_1[[#This Row],[Gross_Revenue]]-Sheet1__3_1_1_1[[#This Row],[Discount_Amount]]</f>
        <v>134.13</v>
      </c>
      <c r="R581">
        <v>83.16</v>
      </c>
      <c r="S581">
        <f>Sheet1__3_1_1_1[[#This Row],[Net_Revenue]]-Sheet1__3_1_1_1[[#This Row],[COGS]]</f>
        <v>50.97</v>
      </c>
    </row>
    <row r="582" spans="1:19" x14ac:dyDescent="0.25">
      <c r="A582" t="s">
        <v>677</v>
      </c>
      <c r="B582" s="1">
        <v>45085</v>
      </c>
      <c r="C582" t="s">
        <v>44</v>
      </c>
      <c r="D582" t="s">
        <v>51</v>
      </c>
      <c r="E582" t="s">
        <v>66</v>
      </c>
      <c r="F582" t="s">
        <v>22</v>
      </c>
      <c r="G582" t="s">
        <v>23</v>
      </c>
      <c r="H582" t="s">
        <v>24</v>
      </c>
      <c r="I582" t="s">
        <v>34</v>
      </c>
      <c r="J582" t="s">
        <v>94</v>
      </c>
      <c r="K582" t="s">
        <v>36</v>
      </c>
      <c r="L582">
        <v>13.58</v>
      </c>
      <c r="M582">
        <v>12</v>
      </c>
      <c r="N582" s="2">
        <v>0.1</v>
      </c>
      <c r="O582">
        <v>162.96</v>
      </c>
      <c r="P582">
        <v>16.296000000000003</v>
      </c>
      <c r="Q582">
        <f>Sheet1__3_1_1_1[[#This Row],[Gross_Revenue]]-Sheet1__3_1_1_1[[#This Row],[Discount_Amount]]</f>
        <v>146.66400000000002</v>
      </c>
      <c r="R582">
        <v>80.66</v>
      </c>
      <c r="S582">
        <f>Sheet1__3_1_1_1[[#This Row],[Net_Revenue]]-Sheet1__3_1_1_1[[#This Row],[COGS]]</f>
        <v>66.004000000000019</v>
      </c>
    </row>
    <row r="583" spans="1:19" x14ac:dyDescent="0.25">
      <c r="A583" t="s">
        <v>678</v>
      </c>
      <c r="B583" s="1">
        <v>44928</v>
      </c>
      <c r="C583" t="s">
        <v>29</v>
      </c>
      <c r="D583" t="s">
        <v>62</v>
      </c>
      <c r="E583" t="s">
        <v>21</v>
      </c>
      <c r="F583" t="s">
        <v>79</v>
      </c>
      <c r="G583" t="s">
        <v>80</v>
      </c>
      <c r="H583" t="s">
        <v>71</v>
      </c>
      <c r="I583" t="s">
        <v>25</v>
      </c>
      <c r="J583" t="s">
        <v>35</v>
      </c>
      <c r="K583" t="s">
        <v>143</v>
      </c>
      <c r="L583">
        <v>520.54</v>
      </c>
      <c r="M583">
        <v>1</v>
      </c>
      <c r="N583" s="2">
        <v>0</v>
      </c>
      <c r="O583">
        <v>520.54</v>
      </c>
      <c r="P583">
        <v>0</v>
      </c>
      <c r="Q583">
        <f>Sheet1__3_1_1_1[[#This Row],[Gross_Revenue]]-Sheet1__3_1_1_1[[#This Row],[Discount_Amount]]</f>
        <v>520.54</v>
      </c>
      <c r="R583">
        <v>322.73</v>
      </c>
      <c r="S583">
        <f>Sheet1__3_1_1_1[[#This Row],[Net_Revenue]]-Sheet1__3_1_1_1[[#This Row],[COGS]]</f>
        <v>197.80999999999995</v>
      </c>
    </row>
    <row r="584" spans="1:19" x14ac:dyDescent="0.25">
      <c r="A584" t="s">
        <v>679</v>
      </c>
      <c r="B584" s="1">
        <v>45249</v>
      </c>
      <c r="C584" t="s">
        <v>44</v>
      </c>
      <c r="D584" t="s">
        <v>45</v>
      </c>
      <c r="E584" t="s">
        <v>66</v>
      </c>
      <c r="F584" t="s">
        <v>31</v>
      </c>
      <c r="G584" t="s">
        <v>32</v>
      </c>
      <c r="H584" t="s">
        <v>24</v>
      </c>
      <c r="I584" t="s">
        <v>34</v>
      </c>
      <c r="J584" t="s">
        <v>94</v>
      </c>
      <c r="K584" t="s">
        <v>36</v>
      </c>
      <c r="L584">
        <v>353.42</v>
      </c>
      <c r="M584">
        <v>5</v>
      </c>
      <c r="N584" s="2">
        <v>0.2</v>
      </c>
      <c r="O584">
        <v>1767.1000000000001</v>
      </c>
      <c r="P584">
        <v>353.42000000000007</v>
      </c>
      <c r="Q584">
        <f>Sheet1__3_1_1_1[[#This Row],[Gross_Revenue]]-Sheet1__3_1_1_1[[#This Row],[Discount_Amount]]</f>
        <v>1413.68</v>
      </c>
      <c r="R584">
        <v>678.57</v>
      </c>
      <c r="S584">
        <f>Sheet1__3_1_1_1[[#This Row],[Net_Revenue]]-Sheet1__3_1_1_1[[#This Row],[COGS]]</f>
        <v>735.11</v>
      </c>
    </row>
    <row r="585" spans="1:19" x14ac:dyDescent="0.25">
      <c r="A585" t="s">
        <v>680</v>
      </c>
      <c r="B585" s="1">
        <v>45094</v>
      </c>
      <c r="C585" t="s">
        <v>99</v>
      </c>
      <c r="D585" t="s">
        <v>148</v>
      </c>
      <c r="E585" t="s">
        <v>39</v>
      </c>
      <c r="F585" t="s">
        <v>69</v>
      </c>
      <c r="G585" t="s">
        <v>190</v>
      </c>
      <c r="H585" t="s">
        <v>47</v>
      </c>
      <c r="I585" t="s">
        <v>34</v>
      </c>
      <c r="J585" t="s">
        <v>49</v>
      </c>
      <c r="K585" t="s">
        <v>36</v>
      </c>
      <c r="L585">
        <v>16.13</v>
      </c>
      <c r="M585">
        <v>10</v>
      </c>
      <c r="N585" s="2">
        <v>0.05</v>
      </c>
      <c r="O585">
        <v>161.29999999999998</v>
      </c>
      <c r="P585">
        <v>8.0649999999999995</v>
      </c>
      <c r="Q585">
        <f>Sheet1__3_1_1_1[[#This Row],[Gross_Revenue]]-Sheet1__3_1_1_1[[#This Row],[Discount_Amount]]</f>
        <v>153.23499999999999</v>
      </c>
      <c r="R585">
        <v>58.23</v>
      </c>
      <c r="S585">
        <f>Sheet1__3_1_1_1[[#This Row],[Net_Revenue]]-Sheet1__3_1_1_1[[#This Row],[COGS]]</f>
        <v>95.004999999999995</v>
      </c>
    </row>
    <row r="586" spans="1:19" x14ac:dyDescent="0.25">
      <c r="A586" t="s">
        <v>681</v>
      </c>
      <c r="B586" s="1">
        <v>45283</v>
      </c>
      <c r="C586" t="s">
        <v>99</v>
      </c>
      <c r="D586" t="s">
        <v>148</v>
      </c>
      <c r="E586" t="s">
        <v>63</v>
      </c>
      <c r="F586" t="s">
        <v>69</v>
      </c>
      <c r="G586" t="s">
        <v>70</v>
      </c>
      <c r="H586" t="s">
        <v>47</v>
      </c>
      <c r="I586" t="s">
        <v>25</v>
      </c>
      <c r="J586" t="s">
        <v>49</v>
      </c>
      <c r="K586" t="s">
        <v>143</v>
      </c>
      <c r="L586">
        <v>302.97000000000003</v>
      </c>
      <c r="M586">
        <v>16</v>
      </c>
      <c r="N586" s="2">
        <v>0.1</v>
      </c>
      <c r="O586">
        <v>4847.5200000000004</v>
      </c>
      <c r="P586">
        <v>484.75200000000007</v>
      </c>
      <c r="Q586">
        <f>Sheet1__3_1_1_1[[#This Row],[Gross_Revenue]]-Sheet1__3_1_1_1[[#This Row],[Discount_Amount]]</f>
        <v>4362.768</v>
      </c>
      <c r="R586">
        <v>1657.85</v>
      </c>
      <c r="S586">
        <f>Sheet1__3_1_1_1[[#This Row],[Net_Revenue]]-Sheet1__3_1_1_1[[#This Row],[COGS]]</f>
        <v>2704.9180000000001</v>
      </c>
    </row>
    <row r="587" spans="1:19" x14ac:dyDescent="0.25">
      <c r="A587" t="s">
        <v>682</v>
      </c>
      <c r="B587" s="1">
        <v>44871</v>
      </c>
      <c r="C587" t="s">
        <v>77</v>
      </c>
      <c r="D587" t="s">
        <v>82</v>
      </c>
      <c r="E587" t="s">
        <v>39</v>
      </c>
      <c r="F587" t="s">
        <v>55</v>
      </c>
      <c r="G587" t="s">
        <v>120</v>
      </c>
      <c r="H587" t="s">
        <v>108</v>
      </c>
      <c r="I587" t="s">
        <v>34</v>
      </c>
      <c r="J587" t="s">
        <v>49</v>
      </c>
      <c r="K587" t="s">
        <v>36</v>
      </c>
      <c r="L587">
        <v>111.79</v>
      </c>
      <c r="M587">
        <v>8</v>
      </c>
      <c r="N587" s="2">
        <v>0</v>
      </c>
      <c r="O587">
        <v>894.32</v>
      </c>
      <c r="P587">
        <v>0</v>
      </c>
      <c r="Q587">
        <f>Sheet1__3_1_1_1[[#This Row],[Gross_Revenue]]-Sheet1__3_1_1_1[[#This Row],[Discount_Amount]]</f>
        <v>894.32</v>
      </c>
      <c r="R587">
        <v>375.61</v>
      </c>
      <c r="S587">
        <f>Sheet1__3_1_1_1[[#This Row],[Net_Revenue]]-Sheet1__3_1_1_1[[#This Row],[COGS]]</f>
        <v>518.71</v>
      </c>
    </row>
    <row r="588" spans="1:19" x14ac:dyDescent="0.25">
      <c r="A588" t="s">
        <v>683</v>
      </c>
      <c r="B588" s="1">
        <v>45008</v>
      </c>
      <c r="C588" t="s">
        <v>77</v>
      </c>
      <c r="D588" t="s">
        <v>110</v>
      </c>
      <c r="E588" t="s">
        <v>39</v>
      </c>
      <c r="F588" t="s">
        <v>79</v>
      </c>
      <c r="G588" t="s">
        <v>172</v>
      </c>
      <c r="H588" t="s">
        <v>59</v>
      </c>
      <c r="I588" t="s">
        <v>34</v>
      </c>
      <c r="J588" t="s">
        <v>94</v>
      </c>
      <c r="K588" t="s">
        <v>143</v>
      </c>
      <c r="L588">
        <v>314.47000000000003</v>
      </c>
      <c r="M588">
        <v>6</v>
      </c>
      <c r="N588" s="2">
        <v>0</v>
      </c>
      <c r="O588">
        <v>1886.8200000000002</v>
      </c>
      <c r="P588">
        <v>0</v>
      </c>
      <c r="Q588">
        <f>Sheet1__3_1_1_1[[#This Row],[Gross_Revenue]]-Sheet1__3_1_1_1[[#This Row],[Discount_Amount]]</f>
        <v>1886.8200000000002</v>
      </c>
      <c r="R588">
        <v>1169.83</v>
      </c>
      <c r="S588">
        <f>Sheet1__3_1_1_1[[#This Row],[Net_Revenue]]-Sheet1__3_1_1_1[[#This Row],[COGS]]</f>
        <v>716.99000000000024</v>
      </c>
    </row>
    <row r="589" spans="1:19" x14ac:dyDescent="0.25">
      <c r="A589" t="s">
        <v>684</v>
      </c>
      <c r="B589" s="1">
        <v>45216</v>
      </c>
      <c r="C589" t="s">
        <v>29</v>
      </c>
      <c r="D589" t="s">
        <v>38</v>
      </c>
      <c r="E589" t="s">
        <v>63</v>
      </c>
      <c r="F589" t="s">
        <v>69</v>
      </c>
      <c r="G589" t="s">
        <v>126</v>
      </c>
      <c r="H589" t="s">
        <v>59</v>
      </c>
      <c r="I589" t="s">
        <v>60</v>
      </c>
      <c r="J589" t="s">
        <v>49</v>
      </c>
      <c r="K589" t="s">
        <v>143</v>
      </c>
      <c r="L589">
        <v>27.15</v>
      </c>
      <c r="M589">
        <v>2</v>
      </c>
      <c r="N589" s="2">
        <v>0</v>
      </c>
      <c r="O589">
        <v>54.3</v>
      </c>
      <c r="P589">
        <v>0</v>
      </c>
      <c r="Q589">
        <f>Sheet1__3_1_1_1[[#This Row],[Gross_Revenue]]-Sheet1__3_1_1_1[[#This Row],[Discount_Amount]]</f>
        <v>54.3</v>
      </c>
      <c r="R589">
        <v>20.63</v>
      </c>
      <c r="S589">
        <f>Sheet1__3_1_1_1[[#This Row],[Net_Revenue]]-Sheet1__3_1_1_1[[#This Row],[COGS]]</f>
        <v>33.67</v>
      </c>
    </row>
    <row r="590" spans="1:19" x14ac:dyDescent="0.25">
      <c r="A590" t="s">
        <v>685</v>
      </c>
      <c r="B590" s="1">
        <v>45025</v>
      </c>
      <c r="C590" t="s">
        <v>19</v>
      </c>
      <c r="D590" t="s">
        <v>91</v>
      </c>
      <c r="E590" t="s">
        <v>63</v>
      </c>
      <c r="F590" t="s">
        <v>69</v>
      </c>
      <c r="G590" t="s">
        <v>101</v>
      </c>
      <c r="H590" t="s">
        <v>87</v>
      </c>
      <c r="I590" t="s">
        <v>34</v>
      </c>
      <c r="J590" t="s">
        <v>49</v>
      </c>
      <c r="K590" t="s">
        <v>36</v>
      </c>
      <c r="L590">
        <v>8.9700000000000006</v>
      </c>
      <c r="M590">
        <v>6</v>
      </c>
      <c r="N590" s="2">
        <v>0.15</v>
      </c>
      <c r="O590">
        <v>53.820000000000007</v>
      </c>
      <c r="P590">
        <v>8.0730000000000004</v>
      </c>
      <c r="Q590">
        <f>Sheet1__3_1_1_1[[#This Row],[Gross_Revenue]]-Sheet1__3_1_1_1[[#This Row],[Discount_Amount]]</f>
        <v>45.747000000000007</v>
      </c>
      <c r="R590">
        <v>17.39</v>
      </c>
      <c r="S590">
        <f>Sheet1__3_1_1_1[[#This Row],[Net_Revenue]]-Sheet1__3_1_1_1[[#This Row],[COGS]]</f>
        <v>28.357000000000006</v>
      </c>
    </row>
    <row r="591" spans="1:19" x14ac:dyDescent="0.25">
      <c r="A591" t="s">
        <v>686</v>
      </c>
      <c r="B591" s="1">
        <v>44708</v>
      </c>
      <c r="C591" t="s">
        <v>44</v>
      </c>
      <c r="D591" t="s">
        <v>51</v>
      </c>
      <c r="E591" t="s">
        <v>66</v>
      </c>
      <c r="F591" t="s">
        <v>55</v>
      </c>
      <c r="G591" t="s">
        <v>83</v>
      </c>
      <c r="H591" t="s">
        <v>57</v>
      </c>
      <c r="I591" t="s">
        <v>34</v>
      </c>
      <c r="J591" t="s">
        <v>49</v>
      </c>
      <c r="K591" t="s">
        <v>143</v>
      </c>
      <c r="L591">
        <v>55.03</v>
      </c>
      <c r="M591">
        <v>8</v>
      </c>
      <c r="N591" s="2">
        <v>0</v>
      </c>
      <c r="O591">
        <v>440.24</v>
      </c>
      <c r="P591">
        <v>0</v>
      </c>
      <c r="Q591">
        <f>Sheet1__3_1_1_1[[#This Row],[Gross_Revenue]]-Sheet1__3_1_1_1[[#This Row],[Discount_Amount]]</f>
        <v>440.24</v>
      </c>
      <c r="R591">
        <v>184.9</v>
      </c>
      <c r="S591">
        <f>Sheet1__3_1_1_1[[#This Row],[Net_Revenue]]-Sheet1__3_1_1_1[[#This Row],[COGS]]</f>
        <v>255.34</v>
      </c>
    </row>
    <row r="592" spans="1:19" x14ac:dyDescent="0.25">
      <c r="A592" t="s">
        <v>687</v>
      </c>
      <c r="B592" s="1">
        <v>45018</v>
      </c>
      <c r="C592" t="s">
        <v>29</v>
      </c>
      <c r="D592" t="s">
        <v>62</v>
      </c>
      <c r="E592" t="s">
        <v>63</v>
      </c>
      <c r="F592" t="s">
        <v>79</v>
      </c>
      <c r="G592" t="s">
        <v>96</v>
      </c>
      <c r="H592" t="s">
        <v>33</v>
      </c>
      <c r="I592" t="s">
        <v>42</v>
      </c>
      <c r="J592" t="s">
        <v>89</v>
      </c>
      <c r="K592" t="s">
        <v>143</v>
      </c>
      <c r="L592">
        <v>431.07</v>
      </c>
      <c r="M592">
        <v>6</v>
      </c>
      <c r="N592" s="2">
        <v>0.05</v>
      </c>
      <c r="O592">
        <v>2586.42</v>
      </c>
      <c r="P592">
        <v>129.321</v>
      </c>
      <c r="Q592">
        <f>Sheet1__3_1_1_1[[#This Row],[Gross_Revenue]]-Sheet1__3_1_1_1[[#This Row],[Discount_Amount]]</f>
        <v>2457.0990000000002</v>
      </c>
      <c r="R592">
        <v>1523.4</v>
      </c>
      <c r="S592">
        <f>Sheet1__3_1_1_1[[#This Row],[Net_Revenue]]-Sheet1__3_1_1_1[[#This Row],[COGS]]</f>
        <v>933.69900000000007</v>
      </c>
    </row>
    <row r="593" spans="1:19" x14ac:dyDescent="0.25">
      <c r="A593" t="s">
        <v>688</v>
      </c>
      <c r="B593" s="1">
        <v>45280</v>
      </c>
      <c r="C593" t="s">
        <v>44</v>
      </c>
      <c r="D593" t="s">
        <v>45</v>
      </c>
      <c r="E593" t="s">
        <v>66</v>
      </c>
      <c r="F593" t="s">
        <v>22</v>
      </c>
      <c r="G593" t="s">
        <v>149</v>
      </c>
      <c r="H593" t="s">
        <v>57</v>
      </c>
      <c r="I593" t="s">
        <v>48</v>
      </c>
      <c r="J593" t="s">
        <v>26</v>
      </c>
      <c r="K593" t="s">
        <v>27</v>
      </c>
      <c r="L593">
        <v>24.33</v>
      </c>
      <c r="M593">
        <v>4</v>
      </c>
      <c r="N593" s="2">
        <v>0.05</v>
      </c>
      <c r="O593">
        <v>97.32</v>
      </c>
      <c r="P593">
        <v>4.8659999999999997</v>
      </c>
      <c r="Q593">
        <f>Sheet1__3_1_1_1[[#This Row],[Gross_Revenue]]-Sheet1__3_1_1_1[[#This Row],[Discount_Amount]]</f>
        <v>92.453999999999994</v>
      </c>
      <c r="R593">
        <v>50.85</v>
      </c>
      <c r="S593">
        <f>Sheet1__3_1_1_1[[#This Row],[Net_Revenue]]-Sheet1__3_1_1_1[[#This Row],[COGS]]</f>
        <v>41.603999999999992</v>
      </c>
    </row>
    <row r="594" spans="1:19" x14ac:dyDescent="0.25">
      <c r="A594" t="s">
        <v>689</v>
      </c>
      <c r="B594" s="1">
        <v>45114</v>
      </c>
      <c r="C594" t="s">
        <v>99</v>
      </c>
      <c r="D594" t="s">
        <v>100</v>
      </c>
      <c r="E594" t="s">
        <v>39</v>
      </c>
      <c r="F594" t="s">
        <v>69</v>
      </c>
      <c r="G594" t="s">
        <v>70</v>
      </c>
      <c r="H594" t="s">
        <v>52</v>
      </c>
      <c r="I594" t="s">
        <v>42</v>
      </c>
      <c r="J594" t="s">
        <v>94</v>
      </c>
      <c r="K594" t="s">
        <v>27</v>
      </c>
      <c r="L594">
        <v>287.49</v>
      </c>
      <c r="M594">
        <v>8</v>
      </c>
      <c r="N594" s="2">
        <v>0</v>
      </c>
      <c r="O594">
        <v>2299.92</v>
      </c>
      <c r="P594">
        <v>0</v>
      </c>
      <c r="Q594">
        <f>Sheet1__3_1_1_1[[#This Row],[Gross_Revenue]]-Sheet1__3_1_1_1[[#This Row],[Discount_Amount]]</f>
        <v>2299.92</v>
      </c>
      <c r="R594">
        <v>873.97</v>
      </c>
      <c r="S594">
        <f>Sheet1__3_1_1_1[[#This Row],[Net_Revenue]]-Sheet1__3_1_1_1[[#This Row],[COGS]]</f>
        <v>1425.95</v>
      </c>
    </row>
    <row r="595" spans="1:19" x14ac:dyDescent="0.25">
      <c r="A595" t="s">
        <v>690</v>
      </c>
      <c r="B595" s="1">
        <v>45283</v>
      </c>
      <c r="C595" t="s">
        <v>19</v>
      </c>
      <c r="D595" t="s">
        <v>130</v>
      </c>
      <c r="E595" t="s">
        <v>21</v>
      </c>
      <c r="F595" t="s">
        <v>22</v>
      </c>
      <c r="G595" t="s">
        <v>113</v>
      </c>
      <c r="H595" t="s">
        <v>52</v>
      </c>
      <c r="I595" t="s">
        <v>25</v>
      </c>
      <c r="J595" t="s">
        <v>89</v>
      </c>
      <c r="K595" t="s">
        <v>36</v>
      </c>
      <c r="L595">
        <v>14.84</v>
      </c>
      <c r="M595">
        <v>28</v>
      </c>
      <c r="N595" s="2">
        <v>0.2</v>
      </c>
      <c r="O595">
        <v>415.52</v>
      </c>
      <c r="P595">
        <v>83.103999999999999</v>
      </c>
      <c r="Q595">
        <f>Sheet1__3_1_1_1[[#This Row],[Gross_Revenue]]-Sheet1__3_1_1_1[[#This Row],[Discount_Amount]]</f>
        <v>332.416</v>
      </c>
      <c r="R595">
        <v>182.83</v>
      </c>
      <c r="S595">
        <f>Sheet1__3_1_1_1[[#This Row],[Net_Revenue]]-Sheet1__3_1_1_1[[#This Row],[COGS]]</f>
        <v>149.58599999999998</v>
      </c>
    </row>
    <row r="596" spans="1:19" x14ac:dyDescent="0.25">
      <c r="A596" t="s">
        <v>691</v>
      </c>
      <c r="B596" s="1">
        <v>45172</v>
      </c>
      <c r="C596" t="s">
        <v>29</v>
      </c>
      <c r="D596" t="s">
        <v>38</v>
      </c>
      <c r="E596" t="s">
        <v>39</v>
      </c>
      <c r="F596" t="s">
        <v>31</v>
      </c>
      <c r="G596" t="s">
        <v>32</v>
      </c>
      <c r="H596" t="s">
        <v>33</v>
      </c>
      <c r="I596" t="s">
        <v>34</v>
      </c>
      <c r="J596" t="s">
        <v>49</v>
      </c>
      <c r="K596" t="s">
        <v>36</v>
      </c>
      <c r="L596">
        <v>423.61</v>
      </c>
      <c r="M596">
        <v>8</v>
      </c>
      <c r="N596" s="2">
        <v>0.1</v>
      </c>
      <c r="O596">
        <v>3388.88</v>
      </c>
      <c r="P596">
        <v>338.88800000000003</v>
      </c>
      <c r="Q596">
        <f>Sheet1__3_1_1_1[[#This Row],[Gross_Revenue]]-Sheet1__3_1_1_1[[#This Row],[Discount_Amount]]</f>
        <v>3049.9920000000002</v>
      </c>
      <c r="R596">
        <v>1464</v>
      </c>
      <c r="S596">
        <f>Sheet1__3_1_1_1[[#This Row],[Net_Revenue]]-Sheet1__3_1_1_1[[#This Row],[COGS]]</f>
        <v>1585.9920000000002</v>
      </c>
    </row>
    <row r="597" spans="1:19" x14ac:dyDescent="0.25">
      <c r="A597" t="s">
        <v>692</v>
      </c>
      <c r="B597" s="1">
        <v>45287</v>
      </c>
      <c r="C597" t="s">
        <v>77</v>
      </c>
      <c r="D597" t="s">
        <v>110</v>
      </c>
      <c r="E597" t="s">
        <v>66</v>
      </c>
      <c r="F597" t="s">
        <v>22</v>
      </c>
      <c r="G597" t="s">
        <v>149</v>
      </c>
      <c r="H597" t="s">
        <v>24</v>
      </c>
      <c r="I597" t="s">
        <v>25</v>
      </c>
      <c r="J597" t="s">
        <v>49</v>
      </c>
      <c r="K597" t="s">
        <v>53</v>
      </c>
      <c r="L597">
        <v>25.36</v>
      </c>
      <c r="M597">
        <v>6</v>
      </c>
      <c r="N597" s="2">
        <v>0.1</v>
      </c>
      <c r="O597">
        <v>152.16</v>
      </c>
      <c r="P597">
        <v>15.216000000000001</v>
      </c>
      <c r="Q597">
        <f>Sheet1__3_1_1_1[[#This Row],[Gross_Revenue]]-Sheet1__3_1_1_1[[#This Row],[Discount_Amount]]</f>
        <v>136.94399999999999</v>
      </c>
      <c r="R597">
        <v>75.319999999999993</v>
      </c>
      <c r="S597">
        <f>Sheet1__3_1_1_1[[#This Row],[Net_Revenue]]-Sheet1__3_1_1_1[[#This Row],[COGS]]</f>
        <v>61.623999999999995</v>
      </c>
    </row>
    <row r="598" spans="1:19" x14ac:dyDescent="0.25">
      <c r="A598" t="s">
        <v>693</v>
      </c>
      <c r="B598" s="1">
        <v>44710</v>
      </c>
      <c r="C598" t="s">
        <v>99</v>
      </c>
      <c r="D598" t="s">
        <v>148</v>
      </c>
      <c r="E598" t="s">
        <v>39</v>
      </c>
      <c r="F598" t="s">
        <v>22</v>
      </c>
      <c r="G598" t="s">
        <v>23</v>
      </c>
      <c r="H598" t="s">
        <v>24</v>
      </c>
      <c r="I598" t="s">
        <v>42</v>
      </c>
      <c r="J598" t="s">
        <v>94</v>
      </c>
      <c r="K598" t="s">
        <v>36</v>
      </c>
      <c r="L598">
        <v>15.28</v>
      </c>
      <c r="M598">
        <v>4</v>
      </c>
      <c r="N598" s="2">
        <v>0</v>
      </c>
      <c r="O598">
        <v>61.12</v>
      </c>
      <c r="P598">
        <v>0</v>
      </c>
      <c r="Q598">
        <f>Sheet1__3_1_1_1[[#This Row],[Gross_Revenue]]-Sheet1__3_1_1_1[[#This Row],[Discount_Amount]]</f>
        <v>61.12</v>
      </c>
      <c r="R598">
        <v>33.619999999999997</v>
      </c>
      <c r="S598">
        <f>Sheet1__3_1_1_1[[#This Row],[Net_Revenue]]-Sheet1__3_1_1_1[[#This Row],[COGS]]</f>
        <v>27.5</v>
      </c>
    </row>
    <row r="599" spans="1:19" x14ac:dyDescent="0.25">
      <c r="A599" t="s">
        <v>694</v>
      </c>
      <c r="B599" s="1">
        <v>44814</v>
      </c>
      <c r="C599" t="s">
        <v>99</v>
      </c>
      <c r="D599" t="s">
        <v>100</v>
      </c>
      <c r="E599" t="s">
        <v>39</v>
      </c>
      <c r="F599" t="s">
        <v>69</v>
      </c>
      <c r="G599" t="s">
        <v>126</v>
      </c>
      <c r="H599" t="s">
        <v>52</v>
      </c>
      <c r="I599" t="s">
        <v>25</v>
      </c>
      <c r="J599" t="s">
        <v>26</v>
      </c>
      <c r="K599" t="s">
        <v>36</v>
      </c>
      <c r="L599">
        <v>26.09</v>
      </c>
      <c r="M599">
        <v>9</v>
      </c>
      <c r="N599" s="2">
        <v>0.1</v>
      </c>
      <c r="O599">
        <v>234.81</v>
      </c>
      <c r="P599">
        <v>23.481000000000002</v>
      </c>
      <c r="Q599">
        <f>Sheet1__3_1_1_1[[#This Row],[Gross_Revenue]]-Sheet1__3_1_1_1[[#This Row],[Discount_Amount]]</f>
        <v>211.32900000000001</v>
      </c>
      <c r="R599">
        <v>80.31</v>
      </c>
      <c r="S599">
        <f>Sheet1__3_1_1_1[[#This Row],[Net_Revenue]]-Sheet1__3_1_1_1[[#This Row],[COGS]]</f>
        <v>131.01900000000001</v>
      </c>
    </row>
    <row r="600" spans="1:19" x14ac:dyDescent="0.25">
      <c r="A600" t="s">
        <v>695</v>
      </c>
      <c r="B600" s="1">
        <v>44754</v>
      </c>
      <c r="C600" t="s">
        <v>77</v>
      </c>
      <c r="D600" t="s">
        <v>82</v>
      </c>
      <c r="E600" t="s">
        <v>66</v>
      </c>
      <c r="F600" t="s">
        <v>79</v>
      </c>
      <c r="G600" t="s">
        <v>56</v>
      </c>
      <c r="H600" t="s">
        <v>57</v>
      </c>
      <c r="I600" t="s">
        <v>42</v>
      </c>
      <c r="J600" t="s">
        <v>49</v>
      </c>
      <c r="K600" t="s">
        <v>36</v>
      </c>
      <c r="L600">
        <v>43.22</v>
      </c>
      <c r="M600">
        <v>3</v>
      </c>
      <c r="N600" s="2">
        <v>0.05</v>
      </c>
      <c r="O600">
        <v>129.66</v>
      </c>
      <c r="P600">
        <v>6.4830000000000005</v>
      </c>
      <c r="Q600">
        <f>Sheet1__3_1_1_1[[#This Row],[Gross_Revenue]]-Sheet1__3_1_1_1[[#This Row],[Discount_Amount]]</f>
        <v>123.17699999999999</v>
      </c>
      <c r="R600">
        <v>76.37</v>
      </c>
      <c r="S600">
        <f>Sheet1__3_1_1_1[[#This Row],[Net_Revenue]]-Sheet1__3_1_1_1[[#This Row],[COGS]]</f>
        <v>46.806999999999988</v>
      </c>
    </row>
    <row r="601" spans="1:19" x14ac:dyDescent="0.25">
      <c r="A601" t="s">
        <v>696</v>
      </c>
      <c r="B601" s="1">
        <v>45186</v>
      </c>
      <c r="C601" t="s">
        <v>99</v>
      </c>
      <c r="D601" t="s">
        <v>100</v>
      </c>
      <c r="E601" t="s">
        <v>63</v>
      </c>
      <c r="F601" t="s">
        <v>69</v>
      </c>
      <c r="G601" t="s">
        <v>126</v>
      </c>
      <c r="H601" t="s">
        <v>111</v>
      </c>
      <c r="I601" t="s">
        <v>34</v>
      </c>
      <c r="J601" t="s">
        <v>49</v>
      </c>
      <c r="K601" t="s">
        <v>53</v>
      </c>
      <c r="L601">
        <v>28.62</v>
      </c>
      <c r="M601">
        <v>7</v>
      </c>
      <c r="N601" s="2">
        <v>0.2</v>
      </c>
      <c r="O601">
        <v>200.34</v>
      </c>
      <c r="P601">
        <v>40.068000000000005</v>
      </c>
      <c r="Q601">
        <f>Sheet1__3_1_1_1[[#This Row],[Gross_Revenue]]-Sheet1__3_1_1_1[[#This Row],[Discount_Amount]]</f>
        <v>160.27199999999999</v>
      </c>
      <c r="R601">
        <v>60.9</v>
      </c>
      <c r="S601">
        <f>Sheet1__3_1_1_1[[#This Row],[Net_Revenue]]-Sheet1__3_1_1_1[[#This Row],[COGS]]</f>
        <v>99.371999999999986</v>
      </c>
    </row>
    <row r="602" spans="1:19" x14ac:dyDescent="0.25">
      <c r="A602" t="s">
        <v>697</v>
      </c>
      <c r="B602" s="1">
        <v>45257</v>
      </c>
      <c r="C602" t="s">
        <v>77</v>
      </c>
      <c r="D602" t="s">
        <v>78</v>
      </c>
      <c r="E602" t="s">
        <v>63</v>
      </c>
      <c r="F602" t="s">
        <v>31</v>
      </c>
      <c r="G602" t="s">
        <v>32</v>
      </c>
      <c r="H602" t="s">
        <v>24</v>
      </c>
      <c r="I602" t="s">
        <v>60</v>
      </c>
      <c r="J602" t="s">
        <v>94</v>
      </c>
      <c r="K602" t="s">
        <v>53</v>
      </c>
      <c r="L602">
        <v>332.41</v>
      </c>
      <c r="M602">
        <v>5</v>
      </c>
      <c r="N602" s="2">
        <v>0</v>
      </c>
      <c r="O602">
        <v>1662.0500000000002</v>
      </c>
      <c r="P602">
        <v>0</v>
      </c>
      <c r="Q602">
        <f>Sheet1__3_1_1_1[[#This Row],[Gross_Revenue]]-Sheet1__3_1_1_1[[#This Row],[Discount_Amount]]</f>
        <v>1662.0500000000002</v>
      </c>
      <c r="R602">
        <v>797.78</v>
      </c>
      <c r="S602">
        <f>Sheet1__3_1_1_1[[#This Row],[Net_Revenue]]-Sheet1__3_1_1_1[[#This Row],[COGS]]</f>
        <v>864.27000000000021</v>
      </c>
    </row>
    <row r="603" spans="1:19" x14ac:dyDescent="0.25">
      <c r="A603" t="s">
        <v>698</v>
      </c>
      <c r="B603" s="1">
        <v>45164</v>
      </c>
      <c r="C603" t="s">
        <v>19</v>
      </c>
      <c r="D603" t="s">
        <v>20</v>
      </c>
      <c r="E603" t="s">
        <v>66</v>
      </c>
      <c r="F603" t="s">
        <v>22</v>
      </c>
      <c r="G603" t="s">
        <v>113</v>
      </c>
      <c r="H603" t="s">
        <v>57</v>
      </c>
      <c r="I603" t="s">
        <v>48</v>
      </c>
      <c r="J603" t="s">
        <v>35</v>
      </c>
      <c r="K603" t="s">
        <v>36</v>
      </c>
      <c r="L603">
        <v>14.07</v>
      </c>
      <c r="M603">
        <v>19</v>
      </c>
      <c r="N603" s="2">
        <v>0</v>
      </c>
      <c r="O603">
        <v>267.33</v>
      </c>
      <c r="P603">
        <v>0</v>
      </c>
      <c r="Q603">
        <f>Sheet1__3_1_1_1[[#This Row],[Gross_Revenue]]-Sheet1__3_1_1_1[[#This Row],[Discount_Amount]]</f>
        <v>267.33</v>
      </c>
      <c r="R603">
        <v>147.03</v>
      </c>
      <c r="S603">
        <f>Sheet1__3_1_1_1[[#This Row],[Net_Revenue]]-Sheet1__3_1_1_1[[#This Row],[COGS]]</f>
        <v>120.29999999999998</v>
      </c>
    </row>
    <row r="604" spans="1:19" x14ac:dyDescent="0.25">
      <c r="A604" t="s">
        <v>699</v>
      </c>
      <c r="B604" s="1">
        <v>44671</v>
      </c>
      <c r="C604" t="s">
        <v>19</v>
      </c>
      <c r="D604" t="s">
        <v>20</v>
      </c>
      <c r="E604" t="s">
        <v>39</v>
      </c>
      <c r="F604" t="s">
        <v>79</v>
      </c>
      <c r="G604" t="s">
        <v>96</v>
      </c>
      <c r="H604" t="s">
        <v>47</v>
      </c>
      <c r="I604" t="s">
        <v>25</v>
      </c>
      <c r="J604" t="s">
        <v>94</v>
      </c>
      <c r="K604" t="s">
        <v>27</v>
      </c>
      <c r="L604">
        <v>378.17</v>
      </c>
      <c r="M604">
        <v>4</v>
      </c>
      <c r="N604" s="2">
        <v>0.1</v>
      </c>
      <c r="O604">
        <v>1512.68</v>
      </c>
      <c r="P604">
        <v>151.268</v>
      </c>
      <c r="Q604">
        <f>Sheet1__3_1_1_1[[#This Row],[Gross_Revenue]]-Sheet1__3_1_1_1[[#This Row],[Discount_Amount]]</f>
        <v>1361.412</v>
      </c>
      <c r="R604">
        <v>844.07</v>
      </c>
      <c r="S604">
        <f>Sheet1__3_1_1_1[[#This Row],[Net_Revenue]]-Sheet1__3_1_1_1[[#This Row],[COGS]]</f>
        <v>517.34199999999998</v>
      </c>
    </row>
    <row r="605" spans="1:19" x14ac:dyDescent="0.25">
      <c r="A605" t="s">
        <v>700</v>
      </c>
      <c r="B605" s="1">
        <v>44981</v>
      </c>
      <c r="C605" t="s">
        <v>19</v>
      </c>
      <c r="D605" t="s">
        <v>91</v>
      </c>
      <c r="E605" t="s">
        <v>39</v>
      </c>
      <c r="F605" t="s">
        <v>69</v>
      </c>
      <c r="G605" t="s">
        <v>73</v>
      </c>
      <c r="H605" t="s">
        <v>47</v>
      </c>
      <c r="I605" t="s">
        <v>34</v>
      </c>
      <c r="J605" t="s">
        <v>26</v>
      </c>
      <c r="K605" t="s">
        <v>143</v>
      </c>
      <c r="L605">
        <v>13.11</v>
      </c>
      <c r="M605">
        <v>15</v>
      </c>
      <c r="N605" s="2">
        <v>0.2</v>
      </c>
      <c r="O605">
        <v>196.64999999999998</v>
      </c>
      <c r="P605">
        <v>39.33</v>
      </c>
      <c r="Q605">
        <f>Sheet1__3_1_1_1[[#This Row],[Gross_Revenue]]-Sheet1__3_1_1_1[[#This Row],[Discount_Amount]]</f>
        <v>157.32</v>
      </c>
      <c r="R605">
        <v>59.78</v>
      </c>
      <c r="S605">
        <f>Sheet1__3_1_1_1[[#This Row],[Net_Revenue]]-Sheet1__3_1_1_1[[#This Row],[COGS]]</f>
        <v>97.539999999999992</v>
      </c>
    </row>
    <row r="606" spans="1:19" x14ac:dyDescent="0.25">
      <c r="A606" t="s">
        <v>701</v>
      </c>
      <c r="B606" s="1">
        <v>45172</v>
      </c>
      <c r="C606" t="s">
        <v>29</v>
      </c>
      <c r="D606" t="s">
        <v>62</v>
      </c>
      <c r="E606" t="s">
        <v>63</v>
      </c>
      <c r="F606" t="s">
        <v>55</v>
      </c>
      <c r="G606" t="s">
        <v>56</v>
      </c>
      <c r="H606" t="s">
        <v>87</v>
      </c>
      <c r="I606" t="s">
        <v>42</v>
      </c>
      <c r="J606" t="s">
        <v>49</v>
      </c>
      <c r="K606" t="s">
        <v>27</v>
      </c>
      <c r="L606">
        <v>39.36</v>
      </c>
      <c r="M606">
        <v>4</v>
      </c>
      <c r="N606" s="2">
        <v>0.1</v>
      </c>
      <c r="O606">
        <v>157.44</v>
      </c>
      <c r="P606">
        <v>15.744</v>
      </c>
      <c r="Q606">
        <f>Sheet1__3_1_1_1[[#This Row],[Gross_Revenue]]-Sheet1__3_1_1_1[[#This Row],[Discount_Amount]]</f>
        <v>141.696</v>
      </c>
      <c r="R606">
        <v>59.51</v>
      </c>
      <c r="S606">
        <f>Sheet1__3_1_1_1[[#This Row],[Net_Revenue]]-Sheet1__3_1_1_1[[#This Row],[COGS]]</f>
        <v>82.186000000000007</v>
      </c>
    </row>
    <row r="607" spans="1:19" x14ac:dyDescent="0.25">
      <c r="A607" t="s">
        <v>702</v>
      </c>
      <c r="B607" s="1">
        <v>45068</v>
      </c>
      <c r="C607" t="s">
        <v>77</v>
      </c>
      <c r="D607" t="s">
        <v>78</v>
      </c>
      <c r="E607" t="s">
        <v>21</v>
      </c>
      <c r="F607" t="s">
        <v>79</v>
      </c>
      <c r="G607" t="s">
        <v>85</v>
      </c>
      <c r="H607" t="s">
        <v>71</v>
      </c>
      <c r="I607" t="s">
        <v>42</v>
      </c>
      <c r="J607" t="s">
        <v>26</v>
      </c>
      <c r="K607" t="s">
        <v>143</v>
      </c>
      <c r="L607">
        <v>865.18</v>
      </c>
      <c r="M607">
        <v>5</v>
      </c>
      <c r="N607" s="2">
        <v>0</v>
      </c>
      <c r="O607">
        <v>4325.8999999999996</v>
      </c>
      <c r="P607">
        <v>0</v>
      </c>
      <c r="Q607">
        <f>Sheet1__3_1_1_1[[#This Row],[Gross_Revenue]]-Sheet1__3_1_1_1[[#This Row],[Discount_Amount]]</f>
        <v>4325.8999999999996</v>
      </c>
      <c r="R607">
        <v>2682.06</v>
      </c>
      <c r="S607">
        <f>Sheet1__3_1_1_1[[#This Row],[Net_Revenue]]-Sheet1__3_1_1_1[[#This Row],[COGS]]</f>
        <v>1643.8399999999997</v>
      </c>
    </row>
    <row r="608" spans="1:19" x14ac:dyDescent="0.25">
      <c r="A608" t="s">
        <v>703</v>
      </c>
      <c r="B608" s="1">
        <v>44611</v>
      </c>
      <c r="C608" t="s">
        <v>29</v>
      </c>
      <c r="D608" t="s">
        <v>62</v>
      </c>
      <c r="E608" t="s">
        <v>39</v>
      </c>
      <c r="F608" t="s">
        <v>79</v>
      </c>
      <c r="G608" t="s">
        <v>85</v>
      </c>
      <c r="H608" t="s">
        <v>87</v>
      </c>
      <c r="I608" t="s">
        <v>34</v>
      </c>
      <c r="J608" t="s">
        <v>94</v>
      </c>
      <c r="K608" t="s">
        <v>53</v>
      </c>
      <c r="L608">
        <v>764.52</v>
      </c>
      <c r="M608">
        <v>5</v>
      </c>
      <c r="N608" s="2">
        <v>0.05</v>
      </c>
      <c r="O608">
        <v>3822.6</v>
      </c>
      <c r="P608">
        <v>191.13</v>
      </c>
      <c r="Q608">
        <f>Sheet1__3_1_1_1[[#This Row],[Gross_Revenue]]-Sheet1__3_1_1_1[[#This Row],[Discount_Amount]]</f>
        <v>3631.47</v>
      </c>
      <c r="R608">
        <v>2251.5100000000002</v>
      </c>
      <c r="S608">
        <f>Sheet1__3_1_1_1[[#This Row],[Net_Revenue]]-Sheet1__3_1_1_1[[#This Row],[COGS]]</f>
        <v>1379.9599999999996</v>
      </c>
    </row>
    <row r="609" spans="1:19" x14ac:dyDescent="0.25">
      <c r="A609" t="s">
        <v>704</v>
      </c>
      <c r="B609" s="1">
        <v>45194</v>
      </c>
      <c r="C609" t="s">
        <v>29</v>
      </c>
      <c r="D609" t="s">
        <v>38</v>
      </c>
      <c r="E609" t="s">
        <v>39</v>
      </c>
      <c r="F609" t="s">
        <v>31</v>
      </c>
      <c r="G609" t="s">
        <v>40</v>
      </c>
      <c r="H609" t="s">
        <v>111</v>
      </c>
      <c r="I609" t="s">
        <v>60</v>
      </c>
      <c r="J609" t="s">
        <v>49</v>
      </c>
      <c r="K609" t="s">
        <v>36</v>
      </c>
      <c r="L609">
        <v>206.92</v>
      </c>
      <c r="M609">
        <v>2</v>
      </c>
      <c r="N609" s="2">
        <v>0</v>
      </c>
      <c r="O609">
        <v>413.84</v>
      </c>
      <c r="P609">
        <v>0</v>
      </c>
      <c r="Q609">
        <f>Sheet1__3_1_1_1[[#This Row],[Gross_Revenue]]-Sheet1__3_1_1_1[[#This Row],[Discount_Amount]]</f>
        <v>413.84</v>
      </c>
      <c r="R609">
        <v>198.64</v>
      </c>
      <c r="S609">
        <f>Sheet1__3_1_1_1[[#This Row],[Net_Revenue]]-Sheet1__3_1_1_1[[#This Row],[COGS]]</f>
        <v>215.2</v>
      </c>
    </row>
    <row r="610" spans="1:19" x14ac:dyDescent="0.25">
      <c r="A610" t="s">
        <v>705</v>
      </c>
      <c r="B610" s="1">
        <v>44910</v>
      </c>
      <c r="C610" t="s">
        <v>99</v>
      </c>
      <c r="D610" t="s">
        <v>148</v>
      </c>
      <c r="E610" t="s">
        <v>21</v>
      </c>
      <c r="F610" t="s">
        <v>79</v>
      </c>
      <c r="G610" t="s">
        <v>85</v>
      </c>
      <c r="H610" t="s">
        <v>57</v>
      </c>
      <c r="I610" t="s">
        <v>48</v>
      </c>
      <c r="J610" t="s">
        <v>35</v>
      </c>
      <c r="K610" t="s">
        <v>36</v>
      </c>
      <c r="L610">
        <v>1049.0899999999999</v>
      </c>
      <c r="M610">
        <v>6</v>
      </c>
      <c r="N610" s="2">
        <v>0.15</v>
      </c>
      <c r="O610">
        <v>6294.5399999999991</v>
      </c>
      <c r="P610">
        <v>944.18099999999981</v>
      </c>
      <c r="Q610">
        <f>Sheet1__3_1_1_1[[#This Row],[Gross_Revenue]]-Sheet1__3_1_1_1[[#This Row],[Discount_Amount]]</f>
        <v>5350.3589999999995</v>
      </c>
      <c r="R610">
        <v>3317.22</v>
      </c>
      <c r="S610">
        <f>Sheet1__3_1_1_1[[#This Row],[Net_Revenue]]-Sheet1__3_1_1_1[[#This Row],[COGS]]</f>
        <v>2033.1389999999997</v>
      </c>
    </row>
    <row r="611" spans="1:19" x14ac:dyDescent="0.25">
      <c r="A611" t="s">
        <v>706</v>
      </c>
      <c r="B611" s="1">
        <v>45100</v>
      </c>
      <c r="C611" t="s">
        <v>99</v>
      </c>
      <c r="D611" t="s">
        <v>100</v>
      </c>
      <c r="E611" t="s">
        <v>39</v>
      </c>
      <c r="F611" t="s">
        <v>22</v>
      </c>
      <c r="G611" t="s">
        <v>149</v>
      </c>
      <c r="H611" t="s">
        <v>106</v>
      </c>
      <c r="I611" t="s">
        <v>42</v>
      </c>
      <c r="J611" t="s">
        <v>94</v>
      </c>
      <c r="K611" t="s">
        <v>27</v>
      </c>
      <c r="L611">
        <v>21.73</v>
      </c>
      <c r="M611">
        <v>19</v>
      </c>
      <c r="N611" s="2">
        <v>0.1</v>
      </c>
      <c r="O611">
        <v>412.87</v>
      </c>
      <c r="P611">
        <v>41.287000000000006</v>
      </c>
      <c r="Q611">
        <f>Sheet1__3_1_1_1[[#This Row],[Gross_Revenue]]-Sheet1__3_1_1_1[[#This Row],[Discount_Amount]]</f>
        <v>371.58299999999997</v>
      </c>
      <c r="R611">
        <v>204.37</v>
      </c>
      <c r="S611">
        <f>Sheet1__3_1_1_1[[#This Row],[Net_Revenue]]-Sheet1__3_1_1_1[[#This Row],[COGS]]</f>
        <v>167.21299999999997</v>
      </c>
    </row>
    <row r="612" spans="1:19" x14ac:dyDescent="0.25">
      <c r="A612" t="s">
        <v>707</v>
      </c>
      <c r="B612" s="1">
        <v>45271</v>
      </c>
      <c r="C612" t="s">
        <v>77</v>
      </c>
      <c r="D612" t="s">
        <v>82</v>
      </c>
      <c r="E612" t="s">
        <v>63</v>
      </c>
      <c r="F612" t="s">
        <v>55</v>
      </c>
      <c r="G612" t="s">
        <v>56</v>
      </c>
      <c r="H612" t="s">
        <v>71</v>
      </c>
      <c r="I612" t="s">
        <v>34</v>
      </c>
      <c r="J612" t="s">
        <v>89</v>
      </c>
      <c r="K612" t="s">
        <v>53</v>
      </c>
      <c r="L612">
        <v>38.4</v>
      </c>
      <c r="M612">
        <v>6</v>
      </c>
      <c r="N612" s="2">
        <v>0.05</v>
      </c>
      <c r="O612">
        <v>230.39999999999998</v>
      </c>
      <c r="P612">
        <v>11.52</v>
      </c>
      <c r="Q612">
        <f>Sheet1__3_1_1_1[[#This Row],[Gross_Revenue]]-Sheet1__3_1_1_1[[#This Row],[Discount_Amount]]</f>
        <v>218.87999999999997</v>
      </c>
      <c r="R612">
        <v>91.93</v>
      </c>
      <c r="S612">
        <f>Sheet1__3_1_1_1[[#This Row],[Net_Revenue]]-Sheet1__3_1_1_1[[#This Row],[COGS]]</f>
        <v>126.94999999999996</v>
      </c>
    </row>
    <row r="613" spans="1:19" x14ac:dyDescent="0.25">
      <c r="A613" t="s">
        <v>708</v>
      </c>
      <c r="B613" s="1">
        <v>44622</v>
      </c>
      <c r="C613" t="s">
        <v>77</v>
      </c>
      <c r="D613" t="s">
        <v>82</v>
      </c>
      <c r="E613" t="s">
        <v>66</v>
      </c>
      <c r="F613" t="s">
        <v>22</v>
      </c>
      <c r="G613" t="s">
        <v>113</v>
      </c>
      <c r="H613" t="s">
        <v>59</v>
      </c>
      <c r="I613" t="s">
        <v>48</v>
      </c>
      <c r="J613" t="s">
        <v>26</v>
      </c>
      <c r="K613" t="s">
        <v>36</v>
      </c>
      <c r="L613">
        <v>12.14</v>
      </c>
      <c r="M613">
        <v>19</v>
      </c>
      <c r="N613" s="2">
        <v>0.05</v>
      </c>
      <c r="O613">
        <v>230.66000000000003</v>
      </c>
      <c r="P613">
        <v>11.533000000000001</v>
      </c>
      <c r="Q613">
        <f>Sheet1__3_1_1_1[[#This Row],[Gross_Revenue]]-Sheet1__3_1_1_1[[#This Row],[Discount_Amount]]</f>
        <v>219.12700000000001</v>
      </c>
      <c r="R613">
        <v>120.52</v>
      </c>
      <c r="S613">
        <f>Sheet1__3_1_1_1[[#This Row],[Net_Revenue]]-Sheet1__3_1_1_1[[#This Row],[COGS]]</f>
        <v>98.607000000000014</v>
      </c>
    </row>
    <row r="614" spans="1:19" x14ac:dyDescent="0.25">
      <c r="A614" t="s">
        <v>709</v>
      </c>
      <c r="B614" s="1">
        <v>44833</v>
      </c>
      <c r="C614" t="s">
        <v>29</v>
      </c>
      <c r="D614" t="s">
        <v>38</v>
      </c>
      <c r="E614" t="s">
        <v>39</v>
      </c>
      <c r="F614" t="s">
        <v>31</v>
      </c>
      <c r="G614" t="s">
        <v>32</v>
      </c>
      <c r="H614" t="s">
        <v>41</v>
      </c>
      <c r="I614" t="s">
        <v>60</v>
      </c>
      <c r="J614" t="s">
        <v>94</v>
      </c>
      <c r="K614" t="s">
        <v>53</v>
      </c>
      <c r="L614">
        <v>446.83</v>
      </c>
      <c r="M614">
        <v>2</v>
      </c>
      <c r="N614" s="2">
        <v>0.1</v>
      </c>
      <c r="O614">
        <v>893.66</v>
      </c>
      <c r="P614">
        <v>89.366</v>
      </c>
      <c r="Q614">
        <f>Sheet1__3_1_1_1[[#This Row],[Gross_Revenue]]-Sheet1__3_1_1_1[[#This Row],[Discount_Amount]]</f>
        <v>804.29399999999998</v>
      </c>
      <c r="R614">
        <v>386.06</v>
      </c>
      <c r="S614">
        <f>Sheet1__3_1_1_1[[#This Row],[Net_Revenue]]-Sheet1__3_1_1_1[[#This Row],[COGS]]</f>
        <v>418.23399999999998</v>
      </c>
    </row>
    <row r="615" spans="1:19" x14ac:dyDescent="0.25">
      <c r="A615" t="s">
        <v>710</v>
      </c>
      <c r="B615" s="1">
        <v>45123</v>
      </c>
      <c r="C615" t="s">
        <v>99</v>
      </c>
      <c r="D615" t="s">
        <v>100</v>
      </c>
      <c r="E615" t="s">
        <v>63</v>
      </c>
      <c r="F615" t="s">
        <v>55</v>
      </c>
      <c r="G615" t="s">
        <v>67</v>
      </c>
      <c r="H615" t="s">
        <v>108</v>
      </c>
      <c r="I615" t="s">
        <v>42</v>
      </c>
      <c r="J615" t="s">
        <v>35</v>
      </c>
      <c r="K615" t="s">
        <v>36</v>
      </c>
      <c r="L615">
        <v>76.5</v>
      </c>
      <c r="M615">
        <v>3</v>
      </c>
      <c r="N615" s="2">
        <v>0</v>
      </c>
      <c r="O615">
        <v>229.5</v>
      </c>
      <c r="P615">
        <v>0</v>
      </c>
      <c r="Q615">
        <f>Sheet1__3_1_1_1[[#This Row],[Gross_Revenue]]-Sheet1__3_1_1_1[[#This Row],[Discount_Amount]]</f>
        <v>229.5</v>
      </c>
      <c r="R615">
        <v>96.39</v>
      </c>
      <c r="S615">
        <f>Sheet1__3_1_1_1[[#This Row],[Net_Revenue]]-Sheet1__3_1_1_1[[#This Row],[COGS]]</f>
        <v>133.11000000000001</v>
      </c>
    </row>
    <row r="616" spans="1:19" x14ac:dyDescent="0.25">
      <c r="A616" t="s">
        <v>711</v>
      </c>
      <c r="B616" s="1">
        <v>45276</v>
      </c>
      <c r="C616" t="s">
        <v>77</v>
      </c>
      <c r="D616" t="s">
        <v>82</v>
      </c>
      <c r="E616" t="s">
        <v>66</v>
      </c>
      <c r="F616" t="s">
        <v>55</v>
      </c>
      <c r="G616" t="s">
        <v>103</v>
      </c>
      <c r="H616" t="s">
        <v>47</v>
      </c>
      <c r="I616" t="s">
        <v>34</v>
      </c>
      <c r="J616" t="s">
        <v>26</v>
      </c>
      <c r="K616" t="s">
        <v>36</v>
      </c>
      <c r="L616">
        <v>155.56</v>
      </c>
      <c r="M616">
        <v>1</v>
      </c>
      <c r="N616" s="2">
        <v>0.05</v>
      </c>
      <c r="O616">
        <v>155.56</v>
      </c>
      <c r="P616">
        <v>7.7780000000000005</v>
      </c>
      <c r="Q616">
        <f>Sheet1__3_1_1_1[[#This Row],[Gross_Revenue]]-Sheet1__3_1_1_1[[#This Row],[Discount_Amount]]</f>
        <v>147.78200000000001</v>
      </c>
      <c r="R616">
        <v>62.07</v>
      </c>
      <c r="S616">
        <f>Sheet1__3_1_1_1[[#This Row],[Net_Revenue]]-Sheet1__3_1_1_1[[#This Row],[COGS]]</f>
        <v>85.712000000000018</v>
      </c>
    </row>
    <row r="617" spans="1:19" x14ac:dyDescent="0.25">
      <c r="A617" t="s">
        <v>712</v>
      </c>
      <c r="B617" s="1">
        <v>45203</v>
      </c>
      <c r="C617" t="s">
        <v>77</v>
      </c>
      <c r="D617" t="s">
        <v>110</v>
      </c>
      <c r="E617" t="s">
        <v>21</v>
      </c>
      <c r="F617" t="s">
        <v>79</v>
      </c>
      <c r="G617" t="s">
        <v>85</v>
      </c>
      <c r="H617" t="s">
        <v>106</v>
      </c>
      <c r="I617" t="s">
        <v>42</v>
      </c>
      <c r="J617" t="s">
        <v>89</v>
      </c>
      <c r="K617" t="s">
        <v>36</v>
      </c>
      <c r="L617">
        <v>867.31</v>
      </c>
      <c r="M617">
        <v>5</v>
      </c>
      <c r="N617" s="2">
        <v>0.15</v>
      </c>
      <c r="O617">
        <v>4336.5499999999993</v>
      </c>
      <c r="P617">
        <v>650.48249999999985</v>
      </c>
      <c r="Q617">
        <f>Sheet1__3_1_1_1[[#This Row],[Gross_Revenue]]-Sheet1__3_1_1_1[[#This Row],[Discount_Amount]]</f>
        <v>3686.0674999999992</v>
      </c>
      <c r="R617">
        <v>2285.36</v>
      </c>
      <c r="S617">
        <f>Sheet1__3_1_1_1[[#This Row],[Net_Revenue]]-Sheet1__3_1_1_1[[#This Row],[COGS]]</f>
        <v>1400.7074999999991</v>
      </c>
    </row>
    <row r="618" spans="1:19" x14ac:dyDescent="0.25">
      <c r="A618" t="s">
        <v>713</v>
      </c>
      <c r="B618" s="1">
        <v>45225</v>
      </c>
      <c r="C618" t="s">
        <v>99</v>
      </c>
      <c r="D618" t="s">
        <v>100</v>
      </c>
      <c r="E618" t="s">
        <v>63</v>
      </c>
      <c r="F618" t="s">
        <v>55</v>
      </c>
      <c r="G618" t="s">
        <v>67</v>
      </c>
      <c r="H618" t="s">
        <v>108</v>
      </c>
      <c r="I618" t="s">
        <v>25</v>
      </c>
      <c r="J618" t="s">
        <v>49</v>
      </c>
      <c r="K618" t="s">
        <v>143</v>
      </c>
      <c r="L618">
        <v>69.09</v>
      </c>
      <c r="M618">
        <v>5</v>
      </c>
      <c r="N618" s="2">
        <v>0</v>
      </c>
      <c r="O618">
        <v>345.45000000000005</v>
      </c>
      <c r="P618">
        <v>0</v>
      </c>
      <c r="Q618">
        <f>Sheet1__3_1_1_1[[#This Row],[Gross_Revenue]]-Sheet1__3_1_1_1[[#This Row],[Discount_Amount]]</f>
        <v>345.45000000000005</v>
      </c>
      <c r="R618">
        <v>145.09</v>
      </c>
      <c r="S618">
        <f>Sheet1__3_1_1_1[[#This Row],[Net_Revenue]]-Sheet1__3_1_1_1[[#This Row],[COGS]]</f>
        <v>200.36000000000004</v>
      </c>
    </row>
    <row r="619" spans="1:19" x14ac:dyDescent="0.25">
      <c r="A619" t="s">
        <v>714</v>
      </c>
      <c r="B619" s="1">
        <v>44898</v>
      </c>
      <c r="C619" t="s">
        <v>44</v>
      </c>
      <c r="D619" t="s">
        <v>51</v>
      </c>
      <c r="E619" t="s">
        <v>21</v>
      </c>
      <c r="F619" t="s">
        <v>69</v>
      </c>
      <c r="G619" t="s">
        <v>73</v>
      </c>
      <c r="H619" t="s">
        <v>57</v>
      </c>
      <c r="I619" t="s">
        <v>48</v>
      </c>
      <c r="J619" t="s">
        <v>89</v>
      </c>
      <c r="K619" t="s">
        <v>36</v>
      </c>
      <c r="L619">
        <v>14.8</v>
      </c>
      <c r="M619">
        <v>6</v>
      </c>
      <c r="N619" s="2">
        <v>0</v>
      </c>
      <c r="O619">
        <v>88.800000000000011</v>
      </c>
      <c r="P619">
        <v>0</v>
      </c>
      <c r="Q619">
        <f>Sheet1__3_1_1_1[[#This Row],[Gross_Revenue]]-Sheet1__3_1_1_1[[#This Row],[Discount_Amount]]</f>
        <v>88.800000000000011</v>
      </c>
      <c r="R619">
        <v>33.74</v>
      </c>
      <c r="S619">
        <f>Sheet1__3_1_1_1[[#This Row],[Net_Revenue]]-Sheet1__3_1_1_1[[#This Row],[COGS]]</f>
        <v>55.060000000000009</v>
      </c>
    </row>
    <row r="620" spans="1:19" x14ac:dyDescent="0.25">
      <c r="A620" t="s">
        <v>715</v>
      </c>
      <c r="B620" s="1">
        <v>45037</v>
      </c>
      <c r="C620" t="s">
        <v>19</v>
      </c>
      <c r="D620" t="s">
        <v>20</v>
      </c>
      <c r="E620" t="s">
        <v>39</v>
      </c>
      <c r="F620" t="s">
        <v>55</v>
      </c>
      <c r="G620" t="s">
        <v>83</v>
      </c>
      <c r="H620" t="s">
        <v>57</v>
      </c>
      <c r="I620" t="s">
        <v>34</v>
      </c>
      <c r="J620" t="s">
        <v>49</v>
      </c>
      <c r="K620" t="s">
        <v>36</v>
      </c>
      <c r="L620">
        <v>49.3</v>
      </c>
      <c r="M620">
        <v>4</v>
      </c>
      <c r="N620" s="2">
        <v>0.1</v>
      </c>
      <c r="O620">
        <v>197.2</v>
      </c>
      <c r="P620">
        <v>19.72</v>
      </c>
      <c r="Q620">
        <f>Sheet1__3_1_1_1[[#This Row],[Gross_Revenue]]-Sheet1__3_1_1_1[[#This Row],[Discount_Amount]]</f>
        <v>177.48</v>
      </c>
      <c r="R620">
        <v>74.540000000000006</v>
      </c>
      <c r="S620">
        <f>Sheet1__3_1_1_1[[#This Row],[Net_Revenue]]-Sheet1__3_1_1_1[[#This Row],[COGS]]</f>
        <v>102.93999999999998</v>
      </c>
    </row>
    <row r="621" spans="1:19" x14ac:dyDescent="0.25">
      <c r="A621" t="s">
        <v>716</v>
      </c>
      <c r="B621" s="1">
        <v>45110</v>
      </c>
      <c r="C621" t="s">
        <v>19</v>
      </c>
      <c r="D621" t="s">
        <v>91</v>
      </c>
      <c r="E621" t="s">
        <v>39</v>
      </c>
      <c r="F621" t="s">
        <v>22</v>
      </c>
      <c r="G621" t="s">
        <v>23</v>
      </c>
      <c r="H621" t="s">
        <v>87</v>
      </c>
      <c r="I621" t="s">
        <v>42</v>
      </c>
      <c r="J621" t="s">
        <v>89</v>
      </c>
      <c r="K621" t="s">
        <v>36</v>
      </c>
      <c r="L621">
        <v>14.36</v>
      </c>
      <c r="M621">
        <v>27</v>
      </c>
      <c r="N621" s="2">
        <v>0</v>
      </c>
      <c r="O621">
        <v>387.71999999999997</v>
      </c>
      <c r="P621">
        <v>0</v>
      </c>
      <c r="Q621">
        <f>Sheet1__3_1_1_1[[#This Row],[Gross_Revenue]]-Sheet1__3_1_1_1[[#This Row],[Discount_Amount]]</f>
        <v>387.71999999999997</v>
      </c>
      <c r="R621">
        <v>213.25</v>
      </c>
      <c r="S621">
        <f>Sheet1__3_1_1_1[[#This Row],[Net_Revenue]]-Sheet1__3_1_1_1[[#This Row],[COGS]]</f>
        <v>174.46999999999997</v>
      </c>
    </row>
    <row r="622" spans="1:19" x14ac:dyDescent="0.25">
      <c r="A622" t="s">
        <v>717</v>
      </c>
      <c r="B622" s="1">
        <v>44661</v>
      </c>
      <c r="C622" t="s">
        <v>44</v>
      </c>
      <c r="D622" t="s">
        <v>65</v>
      </c>
      <c r="E622" t="s">
        <v>63</v>
      </c>
      <c r="F622" t="s">
        <v>69</v>
      </c>
      <c r="G622" t="s">
        <v>126</v>
      </c>
      <c r="H622" t="s">
        <v>57</v>
      </c>
      <c r="I622" t="s">
        <v>60</v>
      </c>
      <c r="J622" t="s">
        <v>35</v>
      </c>
      <c r="K622" t="s">
        <v>143</v>
      </c>
      <c r="L622">
        <v>28.57</v>
      </c>
      <c r="M622">
        <v>7</v>
      </c>
      <c r="N622" s="2">
        <v>0.2</v>
      </c>
      <c r="O622">
        <v>199.99</v>
      </c>
      <c r="P622">
        <v>39.998000000000005</v>
      </c>
      <c r="Q622">
        <f>Sheet1__3_1_1_1[[#This Row],[Gross_Revenue]]-Sheet1__3_1_1_1[[#This Row],[Discount_Amount]]</f>
        <v>159.99200000000002</v>
      </c>
      <c r="R622">
        <v>60.8</v>
      </c>
      <c r="S622">
        <f>Sheet1__3_1_1_1[[#This Row],[Net_Revenue]]-Sheet1__3_1_1_1[[#This Row],[COGS]]</f>
        <v>99.192000000000021</v>
      </c>
    </row>
    <row r="623" spans="1:19" x14ac:dyDescent="0.25">
      <c r="A623" t="s">
        <v>718</v>
      </c>
      <c r="B623" s="1">
        <v>45270</v>
      </c>
      <c r="C623" t="s">
        <v>77</v>
      </c>
      <c r="D623" t="s">
        <v>110</v>
      </c>
      <c r="E623" t="s">
        <v>63</v>
      </c>
      <c r="F623" t="s">
        <v>79</v>
      </c>
      <c r="G623" t="s">
        <v>96</v>
      </c>
      <c r="H623" t="s">
        <v>87</v>
      </c>
      <c r="I623" t="s">
        <v>48</v>
      </c>
      <c r="J623" t="s">
        <v>89</v>
      </c>
      <c r="K623" t="s">
        <v>143</v>
      </c>
      <c r="L623">
        <v>357.5</v>
      </c>
      <c r="M623">
        <v>4</v>
      </c>
      <c r="N623" s="2">
        <v>0.15</v>
      </c>
      <c r="O623">
        <v>1430</v>
      </c>
      <c r="P623">
        <v>214.5</v>
      </c>
      <c r="Q623">
        <f>Sheet1__3_1_1_1[[#This Row],[Gross_Revenue]]-Sheet1__3_1_1_1[[#This Row],[Discount_Amount]]</f>
        <v>1215.5</v>
      </c>
      <c r="R623">
        <v>753.61</v>
      </c>
      <c r="S623">
        <f>Sheet1__3_1_1_1[[#This Row],[Net_Revenue]]-Sheet1__3_1_1_1[[#This Row],[COGS]]</f>
        <v>461.89</v>
      </c>
    </row>
    <row r="624" spans="1:19" x14ac:dyDescent="0.25">
      <c r="A624" t="s">
        <v>719</v>
      </c>
      <c r="B624" s="1">
        <v>45167</v>
      </c>
      <c r="C624" t="s">
        <v>44</v>
      </c>
      <c r="D624" t="s">
        <v>45</v>
      </c>
      <c r="E624" t="s">
        <v>39</v>
      </c>
      <c r="F624" t="s">
        <v>22</v>
      </c>
      <c r="G624" t="s">
        <v>113</v>
      </c>
      <c r="H624" t="s">
        <v>111</v>
      </c>
      <c r="I624" t="s">
        <v>42</v>
      </c>
      <c r="J624" t="s">
        <v>26</v>
      </c>
      <c r="K624" t="s">
        <v>36</v>
      </c>
      <c r="L624">
        <v>13.03</v>
      </c>
      <c r="M624">
        <v>26</v>
      </c>
      <c r="N624" s="2">
        <v>0</v>
      </c>
      <c r="O624">
        <v>338.78</v>
      </c>
      <c r="P624">
        <v>0</v>
      </c>
      <c r="Q624">
        <f>Sheet1__3_1_1_1[[#This Row],[Gross_Revenue]]-Sheet1__3_1_1_1[[#This Row],[Discount_Amount]]</f>
        <v>338.78</v>
      </c>
      <c r="R624">
        <v>186.33</v>
      </c>
      <c r="S624">
        <f>Sheet1__3_1_1_1[[#This Row],[Net_Revenue]]-Sheet1__3_1_1_1[[#This Row],[COGS]]</f>
        <v>152.44999999999996</v>
      </c>
    </row>
    <row r="625" spans="1:19" x14ac:dyDescent="0.25">
      <c r="A625" t="s">
        <v>720</v>
      </c>
      <c r="B625" s="1">
        <v>45030</v>
      </c>
      <c r="C625" t="s">
        <v>29</v>
      </c>
      <c r="D625" t="s">
        <v>38</v>
      </c>
      <c r="E625" t="s">
        <v>39</v>
      </c>
      <c r="F625" t="s">
        <v>22</v>
      </c>
      <c r="G625" t="s">
        <v>46</v>
      </c>
      <c r="H625" t="s">
        <v>57</v>
      </c>
      <c r="I625" t="s">
        <v>42</v>
      </c>
      <c r="J625" t="s">
        <v>26</v>
      </c>
      <c r="K625" t="s">
        <v>53</v>
      </c>
      <c r="L625">
        <v>19.28</v>
      </c>
      <c r="M625">
        <v>3</v>
      </c>
      <c r="N625" s="2">
        <v>0.2</v>
      </c>
      <c r="O625">
        <v>57.84</v>
      </c>
      <c r="P625">
        <v>11.568000000000001</v>
      </c>
      <c r="Q625">
        <f>Sheet1__3_1_1_1[[#This Row],[Gross_Revenue]]-Sheet1__3_1_1_1[[#This Row],[Discount_Amount]]</f>
        <v>46.272000000000006</v>
      </c>
      <c r="R625">
        <v>25.45</v>
      </c>
      <c r="S625">
        <f>Sheet1__3_1_1_1[[#This Row],[Net_Revenue]]-Sheet1__3_1_1_1[[#This Row],[COGS]]</f>
        <v>20.822000000000006</v>
      </c>
    </row>
    <row r="626" spans="1:19" x14ac:dyDescent="0.25">
      <c r="A626" t="s">
        <v>721</v>
      </c>
      <c r="B626" s="1">
        <v>44716</v>
      </c>
      <c r="C626" t="s">
        <v>44</v>
      </c>
      <c r="D626" t="s">
        <v>51</v>
      </c>
      <c r="E626" t="s">
        <v>63</v>
      </c>
      <c r="F626" t="s">
        <v>79</v>
      </c>
      <c r="G626" t="s">
        <v>85</v>
      </c>
      <c r="H626" t="s">
        <v>108</v>
      </c>
      <c r="I626" t="s">
        <v>25</v>
      </c>
      <c r="J626" t="s">
        <v>49</v>
      </c>
      <c r="K626" t="s">
        <v>36</v>
      </c>
      <c r="L626">
        <v>1002.53</v>
      </c>
      <c r="M626">
        <v>1</v>
      </c>
      <c r="N626" s="2">
        <v>0.1</v>
      </c>
      <c r="O626">
        <v>1002.53</v>
      </c>
      <c r="P626">
        <v>100.253</v>
      </c>
      <c r="Q626">
        <f>Sheet1__3_1_1_1[[#This Row],[Gross_Revenue]]-Sheet1__3_1_1_1[[#This Row],[Discount_Amount]]</f>
        <v>902.27699999999993</v>
      </c>
      <c r="R626">
        <v>559.41</v>
      </c>
      <c r="S626">
        <f>Sheet1__3_1_1_1[[#This Row],[Net_Revenue]]-Sheet1__3_1_1_1[[#This Row],[COGS]]</f>
        <v>342.86699999999996</v>
      </c>
    </row>
    <row r="627" spans="1:19" x14ac:dyDescent="0.25">
      <c r="A627" t="s">
        <v>722</v>
      </c>
      <c r="B627" s="1">
        <v>44663</v>
      </c>
      <c r="C627" t="s">
        <v>44</v>
      </c>
      <c r="D627" t="s">
        <v>65</v>
      </c>
      <c r="E627" t="s">
        <v>21</v>
      </c>
      <c r="F627" t="s">
        <v>69</v>
      </c>
      <c r="G627" t="s">
        <v>126</v>
      </c>
      <c r="H627" t="s">
        <v>57</v>
      </c>
      <c r="I627" t="s">
        <v>42</v>
      </c>
      <c r="J627" t="s">
        <v>49</v>
      </c>
      <c r="K627" t="s">
        <v>36</v>
      </c>
      <c r="L627">
        <v>30.77</v>
      </c>
      <c r="M627">
        <v>22</v>
      </c>
      <c r="N627" s="2">
        <v>0</v>
      </c>
      <c r="O627">
        <v>676.93999999999994</v>
      </c>
      <c r="P627">
        <v>0</v>
      </c>
      <c r="Q627">
        <f>Sheet1__3_1_1_1[[#This Row],[Gross_Revenue]]-Sheet1__3_1_1_1[[#This Row],[Discount_Amount]]</f>
        <v>676.93999999999994</v>
      </c>
      <c r="R627">
        <v>257.24</v>
      </c>
      <c r="S627">
        <f>Sheet1__3_1_1_1[[#This Row],[Net_Revenue]]-Sheet1__3_1_1_1[[#This Row],[COGS]]</f>
        <v>419.69999999999993</v>
      </c>
    </row>
    <row r="628" spans="1:19" x14ac:dyDescent="0.25">
      <c r="A628" t="s">
        <v>723</v>
      </c>
      <c r="B628" s="1">
        <v>44731</v>
      </c>
      <c r="C628" t="s">
        <v>77</v>
      </c>
      <c r="D628" t="s">
        <v>82</v>
      </c>
      <c r="E628" t="s">
        <v>21</v>
      </c>
      <c r="F628" t="s">
        <v>55</v>
      </c>
      <c r="G628" t="s">
        <v>120</v>
      </c>
      <c r="H628" t="s">
        <v>52</v>
      </c>
      <c r="I628" t="s">
        <v>60</v>
      </c>
      <c r="J628" t="s">
        <v>94</v>
      </c>
      <c r="K628" t="s">
        <v>27</v>
      </c>
      <c r="L628">
        <v>126.61</v>
      </c>
      <c r="M628">
        <v>8</v>
      </c>
      <c r="N628" s="2">
        <v>0</v>
      </c>
      <c r="O628">
        <v>1012.88</v>
      </c>
      <c r="P628">
        <v>0</v>
      </c>
      <c r="Q628">
        <f>Sheet1__3_1_1_1[[#This Row],[Gross_Revenue]]-Sheet1__3_1_1_1[[#This Row],[Discount_Amount]]</f>
        <v>1012.88</v>
      </c>
      <c r="R628">
        <v>425.41</v>
      </c>
      <c r="S628">
        <f>Sheet1__3_1_1_1[[#This Row],[Net_Revenue]]-Sheet1__3_1_1_1[[#This Row],[COGS]]</f>
        <v>587.47</v>
      </c>
    </row>
    <row r="629" spans="1:19" x14ac:dyDescent="0.25">
      <c r="A629" t="s">
        <v>724</v>
      </c>
      <c r="B629" s="1">
        <v>44807</v>
      </c>
      <c r="C629" t="s">
        <v>19</v>
      </c>
      <c r="D629" t="s">
        <v>20</v>
      </c>
      <c r="E629" t="s">
        <v>63</v>
      </c>
      <c r="F629" t="s">
        <v>55</v>
      </c>
      <c r="G629" t="s">
        <v>103</v>
      </c>
      <c r="H629" t="s">
        <v>33</v>
      </c>
      <c r="I629" t="s">
        <v>34</v>
      </c>
      <c r="J629" t="s">
        <v>26</v>
      </c>
      <c r="K629" t="s">
        <v>36</v>
      </c>
      <c r="L629">
        <v>136.19999999999999</v>
      </c>
      <c r="M629">
        <v>7</v>
      </c>
      <c r="N629" s="2">
        <v>0.15</v>
      </c>
      <c r="O629">
        <v>953.39999999999986</v>
      </c>
      <c r="P629">
        <v>143.00999999999996</v>
      </c>
      <c r="Q629">
        <f>Sheet1__3_1_1_1[[#This Row],[Gross_Revenue]]-Sheet1__3_1_1_1[[#This Row],[Discount_Amount]]</f>
        <v>810.38999999999987</v>
      </c>
      <c r="R629">
        <v>340.36</v>
      </c>
      <c r="S629">
        <f>Sheet1__3_1_1_1[[#This Row],[Net_Revenue]]-Sheet1__3_1_1_1[[#This Row],[COGS]]</f>
        <v>470.02999999999986</v>
      </c>
    </row>
    <row r="630" spans="1:19" x14ac:dyDescent="0.25">
      <c r="A630" t="s">
        <v>725</v>
      </c>
      <c r="B630" s="1">
        <v>45231</v>
      </c>
      <c r="C630" t="s">
        <v>44</v>
      </c>
      <c r="D630" t="s">
        <v>65</v>
      </c>
      <c r="E630" t="s">
        <v>63</v>
      </c>
      <c r="F630" t="s">
        <v>22</v>
      </c>
      <c r="G630" t="s">
        <v>46</v>
      </c>
      <c r="H630" t="s">
        <v>52</v>
      </c>
      <c r="I630" t="s">
        <v>34</v>
      </c>
      <c r="J630" t="s">
        <v>35</v>
      </c>
      <c r="K630" t="s">
        <v>36</v>
      </c>
      <c r="L630">
        <v>21.71</v>
      </c>
      <c r="M630">
        <v>24</v>
      </c>
      <c r="N630" s="2">
        <v>0.1</v>
      </c>
      <c r="O630">
        <v>521.04</v>
      </c>
      <c r="P630">
        <v>52.103999999999999</v>
      </c>
      <c r="Q630">
        <f>Sheet1__3_1_1_1[[#This Row],[Gross_Revenue]]-Sheet1__3_1_1_1[[#This Row],[Discount_Amount]]</f>
        <v>468.93599999999998</v>
      </c>
      <c r="R630">
        <v>257.92</v>
      </c>
      <c r="S630">
        <f>Sheet1__3_1_1_1[[#This Row],[Net_Revenue]]-Sheet1__3_1_1_1[[#This Row],[COGS]]</f>
        <v>211.01599999999996</v>
      </c>
    </row>
    <row r="631" spans="1:19" x14ac:dyDescent="0.25">
      <c r="A631" t="s">
        <v>726</v>
      </c>
      <c r="B631" s="1">
        <v>44825</v>
      </c>
      <c r="C631" t="s">
        <v>29</v>
      </c>
      <c r="D631" t="s">
        <v>30</v>
      </c>
      <c r="E631" t="s">
        <v>66</v>
      </c>
      <c r="F631" t="s">
        <v>79</v>
      </c>
      <c r="G631" t="s">
        <v>80</v>
      </c>
      <c r="H631" t="s">
        <v>33</v>
      </c>
      <c r="I631" t="s">
        <v>42</v>
      </c>
      <c r="J631" t="s">
        <v>26</v>
      </c>
      <c r="K631" t="s">
        <v>27</v>
      </c>
      <c r="L631">
        <v>676.62</v>
      </c>
      <c r="M631">
        <v>1</v>
      </c>
      <c r="N631" s="2">
        <v>0</v>
      </c>
      <c r="O631">
        <v>676.62</v>
      </c>
      <c r="P631">
        <v>0</v>
      </c>
      <c r="Q631">
        <f>Sheet1__3_1_1_1[[#This Row],[Gross_Revenue]]-Sheet1__3_1_1_1[[#This Row],[Discount_Amount]]</f>
        <v>676.62</v>
      </c>
      <c r="R631">
        <v>419.5</v>
      </c>
      <c r="S631">
        <f>Sheet1__3_1_1_1[[#This Row],[Net_Revenue]]-Sheet1__3_1_1_1[[#This Row],[COGS]]</f>
        <v>257.12</v>
      </c>
    </row>
    <row r="632" spans="1:19" x14ac:dyDescent="0.25">
      <c r="A632" t="s">
        <v>727</v>
      </c>
      <c r="B632" s="1">
        <v>44677</v>
      </c>
      <c r="C632" t="s">
        <v>29</v>
      </c>
      <c r="D632" t="s">
        <v>62</v>
      </c>
      <c r="E632" t="s">
        <v>63</v>
      </c>
      <c r="F632" t="s">
        <v>55</v>
      </c>
      <c r="G632" t="s">
        <v>56</v>
      </c>
      <c r="H632" t="s">
        <v>111</v>
      </c>
      <c r="I632" t="s">
        <v>60</v>
      </c>
      <c r="J632" t="s">
        <v>35</v>
      </c>
      <c r="K632" t="s">
        <v>36</v>
      </c>
      <c r="L632">
        <v>48.94</v>
      </c>
      <c r="M632">
        <v>8</v>
      </c>
      <c r="N632" s="2">
        <v>0.1</v>
      </c>
      <c r="O632">
        <v>391.52</v>
      </c>
      <c r="P632">
        <v>39.152000000000001</v>
      </c>
      <c r="Q632">
        <f>Sheet1__3_1_1_1[[#This Row],[Gross_Revenue]]-Sheet1__3_1_1_1[[#This Row],[Discount_Amount]]</f>
        <v>352.36799999999999</v>
      </c>
      <c r="R632">
        <v>148</v>
      </c>
      <c r="S632">
        <f>Sheet1__3_1_1_1[[#This Row],[Net_Revenue]]-Sheet1__3_1_1_1[[#This Row],[COGS]]</f>
        <v>204.36799999999999</v>
      </c>
    </row>
    <row r="633" spans="1:19" x14ac:dyDescent="0.25">
      <c r="A633" t="s">
        <v>728</v>
      </c>
      <c r="B633" s="1">
        <v>44820</v>
      </c>
      <c r="C633" t="s">
        <v>44</v>
      </c>
      <c r="D633" t="s">
        <v>45</v>
      </c>
      <c r="E633" t="s">
        <v>39</v>
      </c>
      <c r="F633" t="s">
        <v>69</v>
      </c>
      <c r="G633" t="s">
        <v>70</v>
      </c>
      <c r="H633" t="s">
        <v>52</v>
      </c>
      <c r="I633" t="s">
        <v>34</v>
      </c>
      <c r="J633" t="s">
        <v>94</v>
      </c>
      <c r="K633" t="s">
        <v>36</v>
      </c>
      <c r="L633">
        <v>325.63</v>
      </c>
      <c r="M633">
        <v>30</v>
      </c>
      <c r="N633" s="2">
        <v>0.1</v>
      </c>
      <c r="O633">
        <v>9768.9</v>
      </c>
      <c r="P633">
        <v>976.89</v>
      </c>
      <c r="Q633">
        <f>Sheet1__3_1_1_1[[#This Row],[Gross_Revenue]]-Sheet1__3_1_1_1[[#This Row],[Discount_Amount]]</f>
        <v>8792.01</v>
      </c>
      <c r="R633">
        <v>3340.96</v>
      </c>
      <c r="S633">
        <f>Sheet1__3_1_1_1[[#This Row],[Net_Revenue]]-Sheet1__3_1_1_1[[#This Row],[COGS]]</f>
        <v>5451.05</v>
      </c>
    </row>
    <row r="634" spans="1:19" x14ac:dyDescent="0.25">
      <c r="A634" t="s">
        <v>729</v>
      </c>
      <c r="B634" s="1">
        <v>44573</v>
      </c>
      <c r="C634" t="s">
        <v>19</v>
      </c>
      <c r="D634" t="s">
        <v>20</v>
      </c>
      <c r="E634" t="s">
        <v>66</v>
      </c>
      <c r="F634" t="s">
        <v>69</v>
      </c>
      <c r="G634" t="s">
        <v>126</v>
      </c>
      <c r="H634" t="s">
        <v>111</v>
      </c>
      <c r="I634" t="s">
        <v>34</v>
      </c>
      <c r="J634" t="s">
        <v>94</v>
      </c>
      <c r="K634" t="s">
        <v>36</v>
      </c>
      <c r="L634">
        <v>25.3</v>
      </c>
      <c r="M634">
        <v>17</v>
      </c>
      <c r="N634" s="2">
        <v>0.15</v>
      </c>
      <c r="O634">
        <v>430.1</v>
      </c>
      <c r="P634">
        <v>64.515000000000001</v>
      </c>
      <c r="Q634">
        <f>Sheet1__3_1_1_1[[#This Row],[Gross_Revenue]]-Sheet1__3_1_1_1[[#This Row],[Discount_Amount]]</f>
        <v>365.58500000000004</v>
      </c>
      <c r="R634">
        <v>138.91999999999999</v>
      </c>
      <c r="S634">
        <f>Sheet1__3_1_1_1[[#This Row],[Net_Revenue]]-Sheet1__3_1_1_1[[#This Row],[COGS]]</f>
        <v>226.66500000000005</v>
      </c>
    </row>
    <row r="635" spans="1:19" x14ac:dyDescent="0.25">
      <c r="A635" t="s">
        <v>730</v>
      </c>
      <c r="B635" s="1">
        <v>45267</v>
      </c>
      <c r="C635" t="s">
        <v>99</v>
      </c>
      <c r="D635" t="s">
        <v>148</v>
      </c>
      <c r="E635" t="s">
        <v>39</v>
      </c>
      <c r="F635" t="s">
        <v>22</v>
      </c>
      <c r="G635" t="s">
        <v>113</v>
      </c>
      <c r="H635" t="s">
        <v>24</v>
      </c>
      <c r="I635" t="s">
        <v>34</v>
      </c>
      <c r="J635" t="s">
        <v>94</v>
      </c>
      <c r="K635" t="s">
        <v>36</v>
      </c>
      <c r="L635">
        <v>11.38</v>
      </c>
      <c r="M635">
        <v>11</v>
      </c>
      <c r="N635" s="2">
        <v>0.15</v>
      </c>
      <c r="O635">
        <v>125.18</v>
      </c>
      <c r="P635">
        <v>18.777000000000001</v>
      </c>
      <c r="Q635">
        <f>Sheet1__3_1_1_1[[#This Row],[Gross_Revenue]]-Sheet1__3_1_1_1[[#This Row],[Discount_Amount]]</f>
        <v>106.40300000000001</v>
      </c>
      <c r="R635">
        <v>58.52</v>
      </c>
      <c r="S635">
        <f>Sheet1__3_1_1_1[[#This Row],[Net_Revenue]]-Sheet1__3_1_1_1[[#This Row],[COGS]]</f>
        <v>47.883000000000003</v>
      </c>
    </row>
    <row r="636" spans="1:19" x14ac:dyDescent="0.25">
      <c r="A636" t="s">
        <v>731</v>
      </c>
      <c r="B636" s="1">
        <v>45231</v>
      </c>
      <c r="C636" t="s">
        <v>19</v>
      </c>
      <c r="D636" t="s">
        <v>130</v>
      </c>
      <c r="E636" t="s">
        <v>39</v>
      </c>
      <c r="F636" t="s">
        <v>79</v>
      </c>
      <c r="G636" t="s">
        <v>56</v>
      </c>
      <c r="H636" t="s">
        <v>106</v>
      </c>
      <c r="I636" t="s">
        <v>25</v>
      </c>
      <c r="J636" t="s">
        <v>26</v>
      </c>
      <c r="K636" t="s">
        <v>36</v>
      </c>
      <c r="L636">
        <v>42.81</v>
      </c>
      <c r="M636">
        <v>1</v>
      </c>
      <c r="N636" s="2">
        <v>0.15</v>
      </c>
      <c r="O636">
        <v>42.81</v>
      </c>
      <c r="P636">
        <v>6.4215</v>
      </c>
      <c r="Q636">
        <f>Sheet1__3_1_1_1[[#This Row],[Gross_Revenue]]-Sheet1__3_1_1_1[[#This Row],[Discount_Amount]]</f>
        <v>36.388500000000001</v>
      </c>
      <c r="R636">
        <v>22.56</v>
      </c>
      <c r="S636">
        <f>Sheet1__3_1_1_1[[#This Row],[Net_Revenue]]-Sheet1__3_1_1_1[[#This Row],[COGS]]</f>
        <v>13.828500000000002</v>
      </c>
    </row>
    <row r="637" spans="1:19" x14ac:dyDescent="0.25">
      <c r="A637" t="s">
        <v>732</v>
      </c>
      <c r="B637" s="1">
        <v>44714</v>
      </c>
      <c r="C637" t="s">
        <v>19</v>
      </c>
      <c r="D637" t="s">
        <v>130</v>
      </c>
      <c r="E637" t="s">
        <v>66</v>
      </c>
      <c r="F637" t="s">
        <v>31</v>
      </c>
      <c r="G637" t="s">
        <v>122</v>
      </c>
      <c r="H637" t="s">
        <v>108</v>
      </c>
      <c r="I637" t="s">
        <v>60</v>
      </c>
      <c r="J637" t="s">
        <v>35</v>
      </c>
      <c r="K637" t="s">
        <v>36</v>
      </c>
      <c r="L637">
        <v>527.54</v>
      </c>
      <c r="M637">
        <v>1</v>
      </c>
      <c r="N637" s="2">
        <v>0.1</v>
      </c>
      <c r="O637">
        <v>527.54</v>
      </c>
      <c r="P637">
        <v>52.753999999999998</v>
      </c>
      <c r="Q637">
        <f>Sheet1__3_1_1_1[[#This Row],[Gross_Revenue]]-Sheet1__3_1_1_1[[#This Row],[Discount_Amount]]</f>
        <v>474.78599999999994</v>
      </c>
      <c r="R637">
        <v>227.9</v>
      </c>
      <c r="S637">
        <f>Sheet1__3_1_1_1[[#This Row],[Net_Revenue]]-Sheet1__3_1_1_1[[#This Row],[COGS]]</f>
        <v>246.88599999999994</v>
      </c>
    </row>
    <row r="638" spans="1:19" x14ac:dyDescent="0.25">
      <c r="A638" t="s">
        <v>733</v>
      </c>
      <c r="B638" s="1">
        <v>44682</v>
      </c>
      <c r="C638" t="s">
        <v>29</v>
      </c>
      <c r="D638" t="s">
        <v>62</v>
      </c>
      <c r="E638" t="s">
        <v>66</v>
      </c>
      <c r="F638" t="s">
        <v>22</v>
      </c>
      <c r="G638" t="s">
        <v>113</v>
      </c>
      <c r="H638" t="s">
        <v>108</v>
      </c>
      <c r="I638" t="s">
        <v>25</v>
      </c>
      <c r="J638" t="s">
        <v>49</v>
      </c>
      <c r="K638" t="s">
        <v>36</v>
      </c>
      <c r="L638">
        <v>11.11</v>
      </c>
      <c r="M638">
        <v>28</v>
      </c>
      <c r="N638" s="2">
        <v>0.2</v>
      </c>
      <c r="O638">
        <v>311.08</v>
      </c>
      <c r="P638">
        <v>62.216000000000001</v>
      </c>
      <c r="Q638">
        <f>Sheet1__3_1_1_1[[#This Row],[Gross_Revenue]]-Sheet1__3_1_1_1[[#This Row],[Discount_Amount]]</f>
        <v>248.86399999999998</v>
      </c>
      <c r="R638">
        <v>136.87</v>
      </c>
      <c r="S638">
        <f>Sheet1__3_1_1_1[[#This Row],[Net_Revenue]]-Sheet1__3_1_1_1[[#This Row],[COGS]]</f>
        <v>111.99399999999997</v>
      </c>
    </row>
    <row r="639" spans="1:19" x14ac:dyDescent="0.25">
      <c r="A639" t="s">
        <v>734</v>
      </c>
      <c r="B639" s="1">
        <v>45042</v>
      </c>
      <c r="C639" t="s">
        <v>19</v>
      </c>
      <c r="D639" t="s">
        <v>130</v>
      </c>
      <c r="E639" t="s">
        <v>39</v>
      </c>
      <c r="F639" t="s">
        <v>22</v>
      </c>
      <c r="G639" t="s">
        <v>113</v>
      </c>
      <c r="H639" t="s">
        <v>52</v>
      </c>
      <c r="I639" t="s">
        <v>34</v>
      </c>
      <c r="J639" t="s">
        <v>26</v>
      </c>
      <c r="K639" t="s">
        <v>143</v>
      </c>
      <c r="L639">
        <v>14.78</v>
      </c>
      <c r="M639">
        <v>21</v>
      </c>
      <c r="N639" s="2">
        <v>0.15</v>
      </c>
      <c r="O639">
        <v>310.38</v>
      </c>
      <c r="P639">
        <v>46.556999999999995</v>
      </c>
      <c r="Q639">
        <f>Sheet1__3_1_1_1[[#This Row],[Gross_Revenue]]-Sheet1__3_1_1_1[[#This Row],[Discount_Amount]]</f>
        <v>263.82299999999998</v>
      </c>
      <c r="R639">
        <v>145.1</v>
      </c>
      <c r="S639">
        <f>Sheet1__3_1_1_1[[#This Row],[Net_Revenue]]-Sheet1__3_1_1_1[[#This Row],[COGS]]</f>
        <v>118.72299999999998</v>
      </c>
    </row>
    <row r="640" spans="1:19" x14ac:dyDescent="0.25">
      <c r="A640" t="s">
        <v>735</v>
      </c>
      <c r="B640" s="1">
        <v>44587</v>
      </c>
      <c r="C640" t="s">
        <v>77</v>
      </c>
      <c r="D640" t="s">
        <v>82</v>
      </c>
      <c r="E640" t="s">
        <v>21</v>
      </c>
      <c r="F640" t="s">
        <v>69</v>
      </c>
      <c r="G640" t="s">
        <v>70</v>
      </c>
      <c r="H640" t="s">
        <v>24</v>
      </c>
      <c r="I640" t="s">
        <v>34</v>
      </c>
      <c r="J640" t="s">
        <v>35</v>
      </c>
      <c r="K640" t="s">
        <v>36</v>
      </c>
      <c r="L640">
        <v>315.91000000000003</v>
      </c>
      <c r="M640">
        <v>26</v>
      </c>
      <c r="N640" s="2">
        <v>0</v>
      </c>
      <c r="O640">
        <v>8213.66</v>
      </c>
      <c r="P640">
        <v>0</v>
      </c>
      <c r="Q640">
        <f>Sheet1__3_1_1_1[[#This Row],[Gross_Revenue]]-Sheet1__3_1_1_1[[#This Row],[Discount_Amount]]</f>
        <v>8213.66</v>
      </c>
      <c r="R640">
        <v>3121.19</v>
      </c>
      <c r="S640">
        <f>Sheet1__3_1_1_1[[#This Row],[Net_Revenue]]-Sheet1__3_1_1_1[[#This Row],[COGS]]</f>
        <v>5092.4699999999993</v>
      </c>
    </row>
    <row r="641" spans="1:19" x14ac:dyDescent="0.25">
      <c r="A641" t="s">
        <v>736</v>
      </c>
      <c r="B641" s="1">
        <v>45100</v>
      </c>
      <c r="C641" t="s">
        <v>19</v>
      </c>
      <c r="D641" t="s">
        <v>91</v>
      </c>
      <c r="E641" t="s">
        <v>39</v>
      </c>
      <c r="F641" t="s">
        <v>69</v>
      </c>
      <c r="G641" t="s">
        <v>73</v>
      </c>
      <c r="H641" t="s">
        <v>33</v>
      </c>
      <c r="I641" t="s">
        <v>42</v>
      </c>
      <c r="J641" t="s">
        <v>89</v>
      </c>
      <c r="K641" t="s">
        <v>27</v>
      </c>
      <c r="L641">
        <v>10.52</v>
      </c>
      <c r="M641">
        <v>1</v>
      </c>
      <c r="N641" s="2">
        <v>0.2</v>
      </c>
      <c r="O641">
        <v>10.52</v>
      </c>
      <c r="P641">
        <v>2.1040000000000001</v>
      </c>
      <c r="Q641">
        <f>Sheet1__3_1_1_1[[#This Row],[Gross_Revenue]]-Sheet1__3_1_1_1[[#This Row],[Discount_Amount]]</f>
        <v>8.4160000000000004</v>
      </c>
      <c r="R641">
        <v>3.2</v>
      </c>
      <c r="S641">
        <f>Sheet1__3_1_1_1[[#This Row],[Net_Revenue]]-Sheet1__3_1_1_1[[#This Row],[COGS]]</f>
        <v>5.2160000000000002</v>
      </c>
    </row>
    <row r="642" spans="1:19" x14ac:dyDescent="0.25">
      <c r="A642" t="s">
        <v>737</v>
      </c>
      <c r="B642" s="1">
        <v>44723</v>
      </c>
      <c r="C642" t="s">
        <v>29</v>
      </c>
      <c r="D642" t="s">
        <v>30</v>
      </c>
      <c r="E642" t="s">
        <v>66</v>
      </c>
      <c r="F642" t="s">
        <v>55</v>
      </c>
      <c r="G642" t="s">
        <v>120</v>
      </c>
      <c r="H642" t="s">
        <v>52</v>
      </c>
      <c r="I642" t="s">
        <v>25</v>
      </c>
      <c r="J642" t="s">
        <v>94</v>
      </c>
      <c r="K642" t="s">
        <v>27</v>
      </c>
      <c r="L642">
        <v>116.28</v>
      </c>
      <c r="M642">
        <v>2</v>
      </c>
      <c r="N642" s="2">
        <v>0</v>
      </c>
      <c r="O642">
        <v>232.56</v>
      </c>
      <c r="P642">
        <v>0</v>
      </c>
      <c r="Q642">
        <f>Sheet1__3_1_1_1[[#This Row],[Gross_Revenue]]-Sheet1__3_1_1_1[[#This Row],[Discount_Amount]]</f>
        <v>232.56</v>
      </c>
      <c r="R642">
        <v>97.68</v>
      </c>
      <c r="S642">
        <f>Sheet1__3_1_1_1[[#This Row],[Net_Revenue]]-Sheet1__3_1_1_1[[#This Row],[COGS]]</f>
        <v>134.88</v>
      </c>
    </row>
    <row r="643" spans="1:19" x14ac:dyDescent="0.25">
      <c r="A643" t="s">
        <v>738</v>
      </c>
      <c r="B643" s="1">
        <v>44805</v>
      </c>
      <c r="C643" t="s">
        <v>19</v>
      </c>
      <c r="D643" t="s">
        <v>91</v>
      </c>
      <c r="E643" t="s">
        <v>66</v>
      </c>
      <c r="F643" t="s">
        <v>31</v>
      </c>
      <c r="G643" t="s">
        <v>93</v>
      </c>
      <c r="H643" t="s">
        <v>57</v>
      </c>
      <c r="I643" t="s">
        <v>42</v>
      </c>
      <c r="J643" t="s">
        <v>49</v>
      </c>
      <c r="K643" t="s">
        <v>143</v>
      </c>
      <c r="L643">
        <v>174.41</v>
      </c>
      <c r="M643">
        <v>4</v>
      </c>
      <c r="N643" s="2">
        <v>0.1</v>
      </c>
      <c r="O643">
        <v>697.64</v>
      </c>
      <c r="P643">
        <v>69.763999999999996</v>
      </c>
      <c r="Q643">
        <f>Sheet1__3_1_1_1[[#This Row],[Gross_Revenue]]-Sheet1__3_1_1_1[[#This Row],[Discount_Amount]]</f>
        <v>627.87599999999998</v>
      </c>
      <c r="R643">
        <v>301.38</v>
      </c>
      <c r="S643">
        <f>Sheet1__3_1_1_1[[#This Row],[Net_Revenue]]-Sheet1__3_1_1_1[[#This Row],[COGS]]</f>
        <v>326.49599999999998</v>
      </c>
    </row>
    <row r="644" spans="1:19" x14ac:dyDescent="0.25">
      <c r="A644" t="s">
        <v>739</v>
      </c>
      <c r="B644" s="1">
        <v>44772</v>
      </c>
      <c r="C644" t="s">
        <v>77</v>
      </c>
      <c r="D644" t="s">
        <v>78</v>
      </c>
      <c r="E644" t="s">
        <v>63</v>
      </c>
      <c r="F644" t="s">
        <v>55</v>
      </c>
      <c r="G644" t="s">
        <v>103</v>
      </c>
      <c r="H644" t="s">
        <v>33</v>
      </c>
      <c r="I644" t="s">
        <v>42</v>
      </c>
      <c r="J644" t="s">
        <v>26</v>
      </c>
      <c r="K644" t="s">
        <v>27</v>
      </c>
      <c r="L644">
        <v>174.87</v>
      </c>
      <c r="M644">
        <v>7</v>
      </c>
      <c r="N644" s="2">
        <v>0</v>
      </c>
      <c r="O644">
        <v>1224.0900000000001</v>
      </c>
      <c r="P644">
        <v>0</v>
      </c>
      <c r="Q644">
        <f>Sheet1__3_1_1_1[[#This Row],[Gross_Revenue]]-Sheet1__3_1_1_1[[#This Row],[Discount_Amount]]</f>
        <v>1224.0900000000001</v>
      </c>
      <c r="R644">
        <v>514.12</v>
      </c>
      <c r="S644">
        <f>Sheet1__3_1_1_1[[#This Row],[Net_Revenue]]-Sheet1__3_1_1_1[[#This Row],[COGS]]</f>
        <v>709.97000000000014</v>
      </c>
    </row>
    <row r="645" spans="1:19" x14ac:dyDescent="0.25">
      <c r="A645" t="s">
        <v>740</v>
      </c>
      <c r="B645" s="1">
        <v>44995</v>
      </c>
      <c r="C645" t="s">
        <v>99</v>
      </c>
      <c r="D645" t="s">
        <v>132</v>
      </c>
      <c r="E645" t="s">
        <v>21</v>
      </c>
      <c r="F645" t="s">
        <v>79</v>
      </c>
      <c r="G645" t="s">
        <v>80</v>
      </c>
      <c r="H645" t="s">
        <v>59</v>
      </c>
      <c r="I645" t="s">
        <v>42</v>
      </c>
      <c r="J645" t="s">
        <v>94</v>
      </c>
      <c r="K645" t="s">
        <v>53</v>
      </c>
      <c r="L645">
        <v>717.1</v>
      </c>
      <c r="M645">
        <v>1</v>
      </c>
      <c r="N645" s="2">
        <v>0.05</v>
      </c>
      <c r="O645">
        <v>717.1</v>
      </c>
      <c r="P645">
        <v>35.855000000000004</v>
      </c>
      <c r="Q645">
        <f>Sheet1__3_1_1_1[[#This Row],[Gross_Revenue]]-Sheet1__3_1_1_1[[#This Row],[Discount_Amount]]</f>
        <v>681.245</v>
      </c>
      <c r="R645">
        <v>422.38</v>
      </c>
      <c r="S645">
        <f>Sheet1__3_1_1_1[[#This Row],[Net_Revenue]]-Sheet1__3_1_1_1[[#This Row],[COGS]]</f>
        <v>258.86500000000001</v>
      </c>
    </row>
    <row r="646" spans="1:19" x14ac:dyDescent="0.25">
      <c r="A646" t="s">
        <v>741</v>
      </c>
      <c r="B646" s="1">
        <v>44604</v>
      </c>
      <c r="C646" t="s">
        <v>29</v>
      </c>
      <c r="D646" t="s">
        <v>30</v>
      </c>
      <c r="E646" t="s">
        <v>39</v>
      </c>
      <c r="F646" t="s">
        <v>22</v>
      </c>
      <c r="G646" t="s">
        <v>46</v>
      </c>
      <c r="H646" t="s">
        <v>52</v>
      </c>
      <c r="I646" t="s">
        <v>60</v>
      </c>
      <c r="J646" t="s">
        <v>49</v>
      </c>
      <c r="K646" t="s">
        <v>36</v>
      </c>
      <c r="L646">
        <v>17.27</v>
      </c>
      <c r="M646">
        <v>9</v>
      </c>
      <c r="N646" s="2">
        <v>0.2</v>
      </c>
      <c r="O646">
        <v>155.43</v>
      </c>
      <c r="P646">
        <v>31.086000000000002</v>
      </c>
      <c r="Q646">
        <f>Sheet1__3_1_1_1[[#This Row],[Gross_Revenue]]-Sheet1__3_1_1_1[[#This Row],[Discount_Amount]]</f>
        <v>124.34400000000001</v>
      </c>
      <c r="R646">
        <v>68.39</v>
      </c>
      <c r="S646">
        <f>Sheet1__3_1_1_1[[#This Row],[Net_Revenue]]-Sheet1__3_1_1_1[[#This Row],[COGS]]</f>
        <v>55.954000000000008</v>
      </c>
    </row>
    <row r="647" spans="1:19" x14ac:dyDescent="0.25">
      <c r="A647" t="s">
        <v>742</v>
      </c>
      <c r="B647" s="1">
        <v>45077</v>
      </c>
      <c r="C647" t="s">
        <v>44</v>
      </c>
      <c r="D647" t="s">
        <v>51</v>
      </c>
      <c r="E647" t="s">
        <v>39</v>
      </c>
      <c r="F647" t="s">
        <v>69</v>
      </c>
      <c r="G647" t="s">
        <v>101</v>
      </c>
      <c r="H647" t="s">
        <v>47</v>
      </c>
      <c r="I647" t="s">
        <v>60</v>
      </c>
      <c r="J647" t="s">
        <v>26</v>
      </c>
      <c r="K647" t="s">
        <v>36</v>
      </c>
      <c r="L647">
        <v>7.63</v>
      </c>
      <c r="M647">
        <v>30</v>
      </c>
      <c r="N647" s="2">
        <v>0</v>
      </c>
      <c r="O647">
        <v>228.9</v>
      </c>
      <c r="P647">
        <v>0</v>
      </c>
      <c r="Q647">
        <f>Sheet1__3_1_1_1[[#This Row],[Gross_Revenue]]-Sheet1__3_1_1_1[[#This Row],[Discount_Amount]]</f>
        <v>228.9</v>
      </c>
      <c r="R647">
        <v>86.98</v>
      </c>
      <c r="S647">
        <f>Sheet1__3_1_1_1[[#This Row],[Net_Revenue]]-Sheet1__3_1_1_1[[#This Row],[COGS]]</f>
        <v>141.92000000000002</v>
      </c>
    </row>
    <row r="648" spans="1:19" x14ac:dyDescent="0.25">
      <c r="A648" t="s">
        <v>743</v>
      </c>
      <c r="B648" s="1">
        <v>45180</v>
      </c>
      <c r="C648" t="s">
        <v>29</v>
      </c>
      <c r="D648" t="s">
        <v>62</v>
      </c>
      <c r="E648" t="s">
        <v>21</v>
      </c>
      <c r="F648" t="s">
        <v>31</v>
      </c>
      <c r="G648" t="s">
        <v>166</v>
      </c>
      <c r="H648" t="s">
        <v>57</v>
      </c>
      <c r="I648" t="s">
        <v>60</v>
      </c>
      <c r="J648" t="s">
        <v>49</v>
      </c>
      <c r="K648" t="s">
        <v>27</v>
      </c>
      <c r="L648">
        <v>271.04000000000002</v>
      </c>
      <c r="M648">
        <v>3</v>
      </c>
      <c r="N648" s="2">
        <v>0</v>
      </c>
      <c r="O648">
        <v>813.12000000000012</v>
      </c>
      <c r="P648">
        <v>0</v>
      </c>
      <c r="Q648">
        <f>Sheet1__3_1_1_1[[#This Row],[Gross_Revenue]]-Sheet1__3_1_1_1[[#This Row],[Discount_Amount]]</f>
        <v>813.12000000000012</v>
      </c>
      <c r="R648">
        <v>390.3</v>
      </c>
      <c r="S648">
        <f>Sheet1__3_1_1_1[[#This Row],[Net_Revenue]]-Sheet1__3_1_1_1[[#This Row],[COGS]]</f>
        <v>422.82000000000011</v>
      </c>
    </row>
    <row r="649" spans="1:19" x14ac:dyDescent="0.25">
      <c r="A649" t="s">
        <v>744</v>
      </c>
      <c r="B649" s="1">
        <v>45044</v>
      </c>
      <c r="C649" t="s">
        <v>44</v>
      </c>
      <c r="D649" t="s">
        <v>45</v>
      </c>
      <c r="E649" t="s">
        <v>63</v>
      </c>
      <c r="F649" t="s">
        <v>79</v>
      </c>
      <c r="G649" t="s">
        <v>85</v>
      </c>
      <c r="H649" t="s">
        <v>71</v>
      </c>
      <c r="I649" t="s">
        <v>60</v>
      </c>
      <c r="J649" t="s">
        <v>26</v>
      </c>
      <c r="K649" t="s">
        <v>36</v>
      </c>
      <c r="L649">
        <v>968.83</v>
      </c>
      <c r="M649">
        <v>7</v>
      </c>
      <c r="N649" s="2">
        <v>0.1</v>
      </c>
      <c r="O649">
        <v>6781.81</v>
      </c>
      <c r="P649">
        <v>678.18100000000004</v>
      </c>
      <c r="Q649">
        <f>Sheet1__3_1_1_1[[#This Row],[Gross_Revenue]]-Sheet1__3_1_1_1[[#This Row],[Discount_Amount]]</f>
        <v>6103.6290000000008</v>
      </c>
      <c r="R649">
        <v>3784.25</v>
      </c>
      <c r="S649">
        <f>Sheet1__3_1_1_1[[#This Row],[Net_Revenue]]-Sheet1__3_1_1_1[[#This Row],[COGS]]</f>
        <v>2319.3790000000008</v>
      </c>
    </row>
    <row r="650" spans="1:19" x14ac:dyDescent="0.25">
      <c r="A650" t="s">
        <v>745</v>
      </c>
      <c r="B650" s="1">
        <v>44823</v>
      </c>
      <c r="C650" t="s">
        <v>19</v>
      </c>
      <c r="D650" t="s">
        <v>130</v>
      </c>
      <c r="E650" t="s">
        <v>21</v>
      </c>
      <c r="F650" t="s">
        <v>22</v>
      </c>
      <c r="G650" t="s">
        <v>113</v>
      </c>
      <c r="H650" t="s">
        <v>52</v>
      </c>
      <c r="I650" t="s">
        <v>34</v>
      </c>
      <c r="J650" t="s">
        <v>26</v>
      </c>
      <c r="K650" t="s">
        <v>27</v>
      </c>
      <c r="L650">
        <v>10.5</v>
      </c>
      <c r="M650">
        <v>12</v>
      </c>
      <c r="N650" s="2">
        <v>0.05</v>
      </c>
      <c r="O650">
        <v>126</v>
      </c>
      <c r="P650">
        <v>6.3000000000000007</v>
      </c>
      <c r="Q650">
        <f>Sheet1__3_1_1_1[[#This Row],[Gross_Revenue]]-Sheet1__3_1_1_1[[#This Row],[Discount_Amount]]</f>
        <v>119.7</v>
      </c>
      <c r="R650">
        <v>65.84</v>
      </c>
      <c r="S650">
        <f>Sheet1__3_1_1_1[[#This Row],[Net_Revenue]]-Sheet1__3_1_1_1[[#This Row],[COGS]]</f>
        <v>53.86</v>
      </c>
    </row>
    <row r="651" spans="1:19" x14ac:dyDescent="0.25">
      <c r="A651" t="s">
        <v>746</v>
      </c>
      <c r="B651" s="1">
        <v>45166</v>
      </c>
      <c r="C651" t="s">
        <v>19</v>
      </c>
      <c r="D651" t="s">
        <v>91</v>
      </c>
      <c r="E651" t="s">
        <v>39</v>
      </c>
      <c r="F651" t="s">
        <v>22</v>
      </c>
      <c r="G651" t="s">
        <v>75</v>
      </c>
      <c r="H651" t="s">
        <v>87</v>
      </c>
      <c r="I651" t="s">
        <v>25</v>
      </c>
      <c r="J651" t="s">
        <v>94</v>
      </c>
      <c r="K651" t="s">
        <v>36</v>
      </c>
      <c r="L651">
        <v>9.6300000000000008</v>
      </c>
      <c r="M651">
        <v>4</v>
      </c>
      <c r="N651" s="2">
        <v>0.2</v>
      </c>
      <c r="O651">
        <v>38.520000000000003</v>
      </c>
      <c r="P651">
        <v>7.7040000000000006</v>
      </c>
      <c r="Q651">
        <f>Sheet1__3_1_1_1[[#This Row],[Gross_Revenue]]-Sheet1__3_1_1_1[[#This Row],[Discount_Amount]]</f>
        <v>30.816000000000003</v>
      </c>
      <c r="R651">
        <v>16.95</v>
      </c>
      <c r="S651">
        <f>Sheet1__3_1_1_1[[#This Row],[Net_Revenue]]-Sheet1__3_1_1_1[[#This Row],[COGS]]</f>
        <v>13.866000000000003</v>
      </c>
    </row>
    <row r="652" spans="1:19" x14ac:dyDescent="0.25">
      <c r="A652" t="s">
        <v>747</v>
      </c>
      <c r="B652" s="1">
        <v>45046</v>
      </c>
      <c r="C652" t="s">
        <v>77</v>
      </c>
      <c r="D652" t="s">
        <v>78</v>
      </c>
      <c r="E652" t="s">
        <v>66</v>
      </c>
      <c r="F652" t="s">
        <v>31</v>
      </c>
      <c r="G652" t="s">
        <v>40</v>
      </c>
      <c r="H652" t="s">
        <v>33</v>
      </c>
      <c r="I652" t="s">
        <v>42</v>
      </c>
      <c r="J652" t="s">
        <v>94</v>
      </c>
      <c r="K652" t="s">
        <v>27</v>
      </c>
      <c r="L652">
        <v>226.37</v>
      </c>
      <c r="M652">
        <v>1</v>
      </c>
      <c r="N652" s="2">
        <v>0.05</v>
      </c>
      <c r="O652">
        <v>226.37</v>
      </c>
      <c r="P652">
        <v>11.3185</v>
      </c>
      <c r="Q652">
        <f>Sheet1__3_1_1_1[[#This Row],[Gross_Revenue]]-Sheet1__3_1_1_1[[#This Row],[Discount_Amount]]</f>
        <v>215.0515</v>
      </c>
      <c r="R652">
        <v>103.22</v>
      </c>
      <c r="S652">
        <f>Sheet1__3_1_1_1[[#This Row],[Net_Revenue]]-Sheet1__3_1_1_1[[#This Row],[COGS]]</f>
        <v>111.83150000000001</v>
      </c>
    </row>
    <row r="653" spans="1:19" x14ac:dyDescent="0.25">
      <c r="A653" t="s">
        <v>748</v>
      </c>
      <c r="B653" s="1">
        <v>45252</v>
      </c>
      <c r="C653" t="s">
        <v>44</v>
      </c>
      <c r="D653" t="s">
        <v>51</v>
      </c>
      <c r="E653" t="s">
        <v>39</v>
      </c>
      <c r="F653" t="s">
        <v>79</v>
      </c>
      <c r="G653" t="s">
        <v>96</v>
      </c>
      <c r="H653" t="s">
        <v>33</v>
      </c>
      <c r="I653" t="s">
        <v>34</v>
      </c>
      <c r="J653" t="s">
        <v>35</v>
      </c>
      <c r="K653" t="s">
        <v>53</v>
      </c>
      <c r="L653">
        <v>486.57</v>
      </c>
      <c r="M653">
        <v>3</v>
      </c>
      <c r="N653" s="2">
        <v>0.1</v>
      </c>
      <c r="O653">
        <v>1459.71</v>
      </c>
      <c r="P653">
        <v>145.971</v>
      </c>
      <c r="Q653">
        <f>Sheet1__3_1_1_1[[#This Row],[Gross_Revenue]]-Sheet1__3_1_1_1[[#This Row],[Discount_Amount]]</f>
        <v>1313.739</v>
      </c>
      <c r="R653">
        <v>814.52</v>
      </c>
      <c r="S653">
        <f>Sheet1__3_1_1_1[[#This Row],[Net_Revenue]]-Sheet1__3_1_1_1[[#This Row],[COGS]]</f>
        <v>499.21900000000005</v>
      </c>
    </row>
    <row r="654" spans="1:19" x14ac:dyDescent="0.25">
      <c r="A654" t="s">
        <v>749</v>
      </c>
      <c r="B654" s="1">
        <v>44889</v>
      </c>
      <c r="C654" t="s">
        <v>99</v>
      </c>
      <c r="D654" t="s">
        <v>148</v>
      </c>
      <c r="E654" t="s">
        <v>66</v>
      </c>
      <c r="F654" t="s">
        <v>69</v>
      </c>
      <c r="G654" t="s">
        <v>70</v>
      </c>
      <c r="H654" t="s">
        <v>111</v>
      </c>
      <c r="I654" t="s">
        <v>48</v>
      </c>
      <c r="J654" t="s">
        <v>35</v>
      </c>
      <c r="K654" t="s">
        <v>143</v>
      </c>
      <c r="L654">
        <v>274.08</v>
      </c>
      <c r="M654">
        <v>18</v>
      </c>
      <c r="N654" s="2">
        <v>0.1</v>
      </c>
      <c r="O654">
        <v>4933.4399999999996</v>
      </c>
      <c r="P654">
        <v>493.34399999999999</v>
      </c>
      <c r="Q654">
        <f>Sheet1__3_1_1_1[[#This Row],[Gross_Revenue]]-Sheet1__3_1_1_1[[#This Row],[Discount_Amount]]</f>
        <v>4440.0959999999995</v>
      </c>
      <c r="R654">
        <v>1687.24</v>
      </c>
      <c r="S654">
        <f>Sheet1__3_1_1_1[[#This Row],[Net_Revenue]]-Sheet1__3_1_1_1[[#This Row],[COGS]]</f>
        <v>2752.8559999999998</v>
      </c>
    </row>
    <row r="655" spans="1:19" x14ac:dyDescent="0.25">
      <c r="A655" t="s">
        <v>750</v>
      </c>
      <c r="B655" s="1">
        <v>45005</v>
      </c>
      <c r="C655" t="s">
        <v>99</v>
      </c>
      <c r="D655" t="s">
        <v>148</v>
      </c>
      <c r="E655" t="s">
        <v>66</v>
      </c>
      <c r="F655" t="s">
        <v>69</v>
      </c>
      <c r="G655" t="s">
        <v>101</v>
      </c>
      <c r="H655" t="s">
        <v>41</v>
      </c>
      <c r="I655" t="s">
        <v>42</v>
      </c>
      <c r="J655" t="s">
        <v>89</v>
      </c>
      <c r="K655" t="s">
        <v>53</v>
      </c>
      <c r="L655">
        <v>9.0500000000000007</v>
      </c>
      <c r="M655">
        <v>16</v>
      </c>
      <c r="N655" s="2">
        <v>0</v>
      </c>
      <c r="O655">
        <v>144.80000000000001</v>
      </c>
      <c r="P655">
        <v>0</v>
      </c>
      <c r="Q655">
        <f>Sheet1__3_1_1_1[[#This Row],[Gross_Revenue]]-Sheet1__3_1_1_1[[#This Row],[Discount_Amount]]</f>
        <v>144.80000000000001</v>
      </c>
      <c r="R655">
        <v>55.02</v>
      </c>
      <c r="S655">
        <f>Sheet1__3_1_1_1[[#This Row],[Net_Revenue]]-Sheet1__3_1_1_1[[#This Row],[COGS]]</f>
        <v>89.78</v>
      </c>
    </row>
    <row r="656" spans="1:19" x14ac:dyDescent="0.25">
      <c r="A656" t="s">
        <v>751</v>
      </c>
      <c r="B656" s="1">
        <v>44952</v>
      </c>
      <c r="C656" t="s">
        <v>19</v>
      </c>
      <c r="D656" t="s">
        <v>20</v>
      </c>
      <c r="E656" t="s">
        <v>39</v>
      </c>
      <c r="F656" t="s">
        <v>55</v>
      </c>
      <c r="G656" t="s">
        <v>83</v>
      </c>
      <c r="H656" t="s">
        <v>71</v>
      </c>
      <c r="I656" t="s">
        <v>48</v>
      </c>
      <c r="J656" t="s">
        <v>26</v>
      </c>
      <c r="K656" t="s">
        <v>53</v>
      </c>
      <c r="L656">
        <v>51.69</v>
      </c>
      <c r="M656">
        <v>1</v>
      </c>
      <c r="N656" s="2">
        <v>0</v>
      </c>
      <c r="O656">
        <v>51.69</v>
      </c>
      <c r="P656">
        <v>0</v>
      </c>
      <c r="Q656">
        <f>Sheet1__3_1_1_1[[#This Row],[Gross_Revenue]]-Sheet1__3_1_1_1[[#This Row],[Discount_Amount]]</f>
        <v>51.69</v>
      </c>
      <c r="R656">
        <v>21.71</v>
      </c>
      <c r="S656">
        <f>Sheet1__3_1_1_1[[#This Row],[Net_Revenue]]-Sheet1__3_1_1_1[[#This Row],[COGS]]</f>
        <v>29.979999999999997</v>
      </c>
    </row>
    <row r="657" spans="1:19" x14ac:dyDescent="0.25">
      <c r="A657" t="s">
        <v>752</v>
      </c>
      <c r="B657" s="1">
        <v>44895</v>
      </c>
      <c r="C657" t="s">
        <v>44</v>
      </c>
      <c r="D657" t="s">
        <v>45</v>
      </c>
      <c r="E657" t="s">
        <v>39</v>
      </c>
      <c r="F657" t="s">
        <v>22</v>
      </c>
      <c r="G657" t="s">
        <v>113</v>
      </c>
      <c r="H657" t="s">
        <v>87</v>
      </c>
      <c r="I657" t="s">
        <v>42</v>
      </c>
      <c r="J657" t="s">
        <v>35</v>
      </c>
      <c r="K657" t="s">
        <v>36</v>
      </c>
      <c r="L657">
        <v>14.68</v>
      </c>
      <c r="M657">
        <v>27</v>
      </c>
      <c r="N657" s="2">
        <v>0</v>
      </c>
      <c r="O657">
        <v>396.36</v>
      </c>
      <c r="P657">
        <v>0</v>
      </c>
      <c r="Q657">
        <f>Sheet1__3_1_1_1[[#This Row],[Gross_Revenue]]-Sheet1__3_1_1_1[[#This Row],[Discount_Amount]]</f>
        <v>396.36</v>
      </c>
      <c r="R657">
        <v>218</v>
      </c>
      <c r="S657">
        <f>Sheet1__3_1_1_1[[#This Row],[Net_Revenue]]-Sheet1__3_1_1_1[[#This Row],[COGS]]</f>
        <v>178.36</v>
      </c>
    </row>
    <row r="658" spans="1:19" x14ac:dyDescent="0.25">
      <c r="A658" t="s">
        <v>753</v>
      </c>
      <c r="B658" s="1">
        <v>45216</v>
      </c>
      <c r="C658" t="s">
        <v>19</v>
      </c>
      <c r="D658" t="s">
        <v>20</v>
      </c>
      <c r="E658" t="s">
        <v>39</v>
      </c>
      <c r="F658" t="s">
        <v>79</v>
      </c>
      <c r="G658" t="s">
        <v>172</v>
      </c>
      <c r="H658" t="s">
        <v>59</v>
      </c>
      <c r="I658" t="s">
        <v>25</v>
      </c>
      <c r="J658" t="s">
        <v>94</v>
      </c>
      <c r="K658" t="s">
        <v>36</v>
      </c>
      <c r="L658">
        <v>427.35</v>
      </c>
      <c r="M658">
        <v>5</v>
      </c>
      <c r="N658" s="2">
        <v>0</v>
      </c>
      <c r="O658">
        <v>2136.75</v>
      </c>
      <c r="P658">
        <v>0</v>
      </c>
      <c r="Q658">
        <f>Sheet1__3_1_1_1[[#This Row],[Gross_Revenue]]-Sheet1__3_1_1_1[[#This Row],[Discount_Amount]]</f>
        <v>2136.75</v>
      </c>
      <c r="R658">
        <v>1324.79</v>
      </c>
      <c r="S658">
        <f>Sheet1__3_1_1_1[[#This Row],[Net_Revenue]]-Sheet1__3_1_1_1[[#This Row],[COGS]]</f>
        <v>811.96</v>
      </c>
    </row>
    <row r="659" spans="1:19" x14ac:dyDescent="0.25">
      <c r="A659" t="s">
        <v>754</v>
      </c>
      <c r="B659" s="1">
        <v>44647</v>
      </c>
      <c r="C659" t="s">
        <v>29</v>
      </c>
      <c r="D659" t="s">
        <v>38</v>
      </c>
      <c r="E659" t="s">
        <v>63</v>
      </c>
      <c r="F659" t="s">
        <v>55</v>
      </c>
      <c r="G659" t="s">
        <v>56</v>
      </c>
      <c r="H659" t="s">
        <v>41</v>
      </c>
      <c r="I659" t="s">
        <v>25</v>
      </c>
      <c r="J659" t="s">
        <v>35</v>
      </c>
      <c r="K659" t="s">
        <v>53</v>
      </c>
      <c r="L659">
        <v>50.18</v>
      </c>
      <c r="M659">
        <v>4</v>
      </c>
      <c r="N659" s="2">
        <v>0.2</v>
      </c>
      <c r="O659">
        <v>200.72</v>
      </c>
      <c r="P659">
        <v>40.144000000000005</v>
      </c>
      <c r="Q659">
        <f>Sheet1__3_1_1_1[[#This Row],[Gross_Revenue]]-Sheet1__3_1_1_1[[#This Row],[Discount_Amount]]</f>
        <v>160.57599999999999</v>
      </c>
      <c r="R659">
        <v>67.44</v>
      </c>
      <c r="S659">
        <f>Sheet1__3_1_1_1[[#This Row],[Net_Revenue]]-Sheet1__3_1_1_1[[#This Row],[COGS]]</f>
        <v>93.135999999999996</v>
      </c>
    </row>
    <row r="660" spans="1:19" x14ac:dyDescent="0.25">
      <c r="A660" t="s">
        <v>755</v>
      </c>
      <c r="B660" s="1">
        <v>44789</v>
      </c>
      <c r="C660" t="s">
        <v>99</v>
      </c>
      <c r="D660" t="s">
        <v>132</v>
      </c>
      <c r="E660" t="s">
        <v>21</v>
      </c>
      <c r="F660" t="s">
        <v>55</v>
      </c>
      <c r="G660" t="s">
        <v>120</v>
      </c>
      <c r="H660" t="s">
        <v>52</v>
      </c>
      <c r="I660" t="s">
        <v>34</v>
      </c>
      <c r="J660" t="s">
        <v>89</v>
      </c>
      <c r="K660" t="s">
        <v>27</v>
      </c>
      <c r="L660">
        <v>133.87</v>
      </c>
      <c r="M660">
        <v>2</v>
      </c>
      <c r="N660" s="2">
        <v>0</v>
      </c>
      <c r="O660">
        <v>267.74</v>
      </c>
      <c r="P660">
        <v>0</v>
      </c>
      <c r="Q660">
        <f>Sheet1__3_1_1_1[[#This Row],[Gross_Revenue]]-Sheet1__3_1_1_1[[#This Row],[Discount_Amount]]</f>
        <v>267.74</v>
      </c>
      <c r="R660">
        <v>112.45</v>
      </c>
      <c r="S660">
        <f>Sheet1__3_1_1_1[[#This Row],[Net_Revenue]]-Sheet1__3_1_1_1[[#This Row],[COGS]]</f>
        <v>155.29000000000002</v>
      </c>
    </row>
    <row r="661" spans="1:19" x14ac:dyDescent="0.25">
      <c r="A661" t="s">
        <v>756</v>
      </c>
      <c r="B661" s="1">
        <v>45203</v>
      </c>
      <c r="C661" t="s">
        <v>77</v>
      </c>
      <c r="D661" t="s">
        <v>78</v>
      </c>
      <c r="E661" t="s">
        <v>63</v>
      </c>
      <c r="F661" t="s">
        <v>22</v>
      </c>
      <c r="G661" t="s">
        <v>23</v>
      </c>
      <c r="H661" t="s">
        <v>87</v>
      </c>
      <c r="I661" t="s">
        <v>25</v>
      </c>
      <c r="J661" t="s">
        <v>26</v>
      </c>
      <c r="K661" t="s">
        <v>36</v>
      </c>
      <c r="L661">
        <v>13.28</v>
      </c>
      <c r="M661">
        <v>24</v>
      </c>
      <c r="N661" s="2">
        <v>0.1</v>
      </c>
      <c r="O661">
        <v>318.71999999999997</v>
      </c>
      <c r="P661">
        <v>31.872</v>
      </c>
      <c r="Q661">
        <f>Sheet1__3_1_1_1[[#This Row],[Gross_Revenue]]-Sheet1__3_1_1_1[[#This Row],[Discount_Amount]]</f>
        <v>286.84799999999996</v>
      </c>
      <c r="R661">
        <v>157.77000000000001</v>
      </c>
      <c r="S661">
        <f>Sheet1__3_1_1_1[[#This Row],[Net_Revenue]]-Sheet1__3_1_1_1[[#This Row],[COGS]]</f>
        <v>129.07799999999995</v>
      </c>
    </row>
    <row r="662" spans="1:19" x14ac:dyDescent="0.25">
      <c r="A662" t="s">
        <v>757</v>
      </c>
      <c r="B662" s="1">
        <v>44971</v>
      </c>
      <c r="C662" t="s">
        <v>99</v>
      </c>
      <c r="D662" t="s">
        <v>132</v>
      </c>
      <c r="E662" t="s">
        <v>63</v>
      </c>
      <c r="F662" t="s">
        <v>69</v>
      </c>
      <c r="G662" t="s">
        <v>70</v>
      </c>
      <c r="H662" t="s">
        <v>57</v>
      </c>
      <c r="I662" t="s">
        <v>42</v>
      </c>
      <c r="J662" t="s">
        <v>89</v>
      </c>
      <c r="K662" t="s">
        <v>143</v>
      </c>
      <c r="L662">
        <v>290.85000000000002</v>
      </c>
      <c r="M662">
        <v>29</v>
      </c>
      <c r="N662" s="2">
        <v>0</v>
      </c>
      <c r="O662">
        <v>8434.6500000000015</v>
      </c>
      <c r="P662">
        <v>0</v>
      </c>
      <c r="Q662">
        <f>Sheet1__3_1_1_1[[#This Row],[Gross_Revenue]]-Sheet1__3_1_1_1[[#This Row],[Discount_Amount]]</f>
        <v>8434.6500000000015</v>
      </c>
      <c r="R662">
        <v>3205.17</v>
      </c>
      <c r="S662">
        <f>Sheet1__3_1_1_1[[#This Row],[Net_Revenue]]-Sheet1__3_1_1_1[[#This Row],[COGS]]</f>
        <v>5229.4800000000014</v>
      </c>
    </row>
    <row r="663" spans="1:19" x14ac:dyDescent="0.25">
      <c r="A663" t="s">
        <v>758</v>
      </c>
      <c r="B663" s="1">
        <v>45001</v>
      </c>
      <c r="C663" t="s">
        <v>29</v>
      </c>
      <c r="D663" t="s">
        <v>62</v>
      </c>
      <c r="E663" t="s">
        <v>66</v>
      </c>
      <c r="F663" t="s">
        <v>79</v>
      </c>
      <c r="G663" t="s">
        <v>85</v>
      </c>
      <c r="H663" t="s">
        <v>59</v>
      </c>
      <c r="I663" t="s">
        <v>25</v>
      </c>
      <c r="J663" t="s">
        <v>49</v>
      </c>
      <c r="K663" t="s">
        <v>36</v>
      </c>
      <c r="L663" t="s">
        <v>1147</v>
      </c>
      <c r="M663">
        <v>8</v>
      </c>
      <c r="N663" s="2">
        <v>0</v>
      </c>
      <c r="O663">
        <v>0</v>
      </c>
      <c r="P663">
        <v>0</v>
      </c>
      <c r="Q663">
        <f>Sheet1__3_1_1_1[[#This Row],[Gross_Revenue]]-Sheet1__3_1_1_1[[#This Row],[Discount_Amount]]</f>
        <v>0</v>
      </c>
      <c r="R663" t="s">
        <v>1147</v>
      </c>
      <c r="S663" t="e">
        <f>Sheet1__3_1_1_1[[#This Row],[Net_Revenue]]-Sheet1__3_1_1_1[[#This Row],[COGS]]</f>
        <v>#VALUE!</v>
      </c>
    </row>
    <row r="664" spans="1:19" x14ac:dyDescent="0.25">
      <c r="A664" t="s">
        <v>759</v>
      </c>
      <c r="B664" s="1">
        <v>44642</v>
      </c>
      <c r="C664" t="s">
        <v>77</v>
      </c>
      <c r="D664" t="s">
        <v>110</v>
      </c>
      <c r="E664" t="s">
        <v>21</v>
      </c>
      <c r="F664" t="s">
        <v>69</v>
      </c>
      <c r="G664" t="s">
        <v>101</v>
      </c>
      <c r="H664" t="s">
        <v>59</v>
      </c>
      <c r="I664" t="s">
        <v>48</v>
      </c>
      <c r="J664" t="s">
        <v>26</v>
      </c>
      <c r="K664" t="s">
        <v>36</v>
      </c>
      <c r="L664">
        <v>9.1999999999999993</v>
      </c>
      <c r="M664">
        <v>15</v>
      </c>
      <c r="N664" s="2">
        <v>0.15</v>
      </c>
      <c r="O664">
        <v>138</v>
      </c>
      <c r="P664">
        <v>20.7</v>
      </c>
      <c r="Q664">
        <f>Sheet1__3_1_1_1[[#This Row],[Gross_Revenue]]-Sheet1__3_1_1_1[[#This Row],[Discount_Amount]]</f>
        <v>117.3</v>
      </c>
      <c r="R664">
        <v>44.57</v>
      </c>
      <c r="S664">
        <f>Sheet1__3_1_1_1[[#This Row],[Net_Revenue]]-Sheet1__3_1_1_1[[#This Row],[COGS]]</f>
        <v>72.72999999999999</v>
      </c>
    </row>
    <row r="665" spans="1:19" x14ac:dyDescent="0.25">
      <c r="A665" t="s">
        <v>760</v>
      </c>
      <c r="B665" s="1">
        <v>44931</v>
      </c>
      <c r="C665" t="s">
        <v>77</v>
      </c>
      <c r="D665" t="s">
        <v>78</v>
      </c>
      <c r="E665" t="s">
        <v>66</v>
      </c>
      <c r="F665" t="s">
        <v>69</v>
      </c>
      <c r="G665" t="s">
        <v>73</v>
      </c>
      <c r="H665" t="s">
        <v>71</v>
      </c>
      <c r="I665" t="s">
        <v>48</v>
      </c>
      <c r="J665" t="s">
        <v>26</v>
      </c>
      <c r="K665" t="s">
        <v>53</v>
      </c>
      <c r="L665">
        <v>11.71</v>
      </c>
      <c r="M665">
        <v>16</v>
      </c>
      <c r="N665" s="2">
        <v>0.2</v>
      </c>
      <c r="O665">
        <v>187.36</v>
      </c>
      <c r="P665">
        <v>37.472000000000001</v>
      </c>
      <c r="Q665">
        <f>Sheet1__3_1_1_1[[#This Row],[Gross_Revenue]]-Sheet1__3_1_1_1[[#This Row],[Discount_Amount]]</f>
        <v>149.88800000000001</v>
      </c>
      <c r="R665">
        <v>56.96</v>
      </c>
      <c r="S665">
        <f>Sheet1__3_1_1_1[[#This Row],[Net_Revenue]]-Sheet1__3_1_1_1[[#This Row],[COGS]]</f>
        <v>92.927999999999997</v>
      </c>
    </row>
    <row r="666" spans="1:19" x14ac:dyDescent="0.25">
      <c r="A666" t="s">
        <v>761</v>
      </c>
      <c r="B666" s="1">
        <v>44682</v>
      </c>
      <c r="C666" t="s">
        <v>99</v>
      </c>
      <c r="D666" t="s">
        <v>148</v>
      </c>
      <c r="E666" t="s">
        <v>39</v>
      </c>
      <c r="F666" t="s">
        <v>69</v>
      </c>
      <c r="G666" t="s">
        <v>73</v>
      </c>
      <c r="H666" t="s">
        <v>87</v>
      </c>
      <c r="I666" t="s">
        <v>42</v>
      </c>
      <c r="J666" t="s">
        <v>94</v>
      </c>
      <c r="K666" t="s">
        <v>53</v>
      </c>
      <c r="L666">
        <v>11.37</v>
      </c>
      <c r="M666">
        <v>18</v>
      </c>
      <c r="N666" s="2">
        <v>0</v>
      </c>
      <c r="O666">
        <v>204.66</v>
      </c>
      <c r="P666">
        <v>0</v>
      </c>
      <c r="Q666">
        <f>Sheet1__3_1_1_1[[#This Row],[Gross_Revenue]]-Sheet1__3_1_1_1[[#This Row],[Discount_Amount]]</f>
        <v>204.66</v>
      </c>
      <c r="R666">
        <v>77.77</v>
      </c>
      <c r="S666">
        <f>Sheet1__3_1_1_1[[#This Row],[Net_Revenue]]-Sheet1__3_1_1_1[[#This Row],[COGS]]</f>
        <v>126.89</v>
      </c>
    </row>
    <row r="667" spans="1:19" x14ac:dyDescent="0.25">
      <c r="A667" t="s">
        <v>762</v>
      </c>
      <c r="B667" s="1">
        <v>44830</v>
      </c>
      <c r="C667" t="s">
        <v>29</v>
      </c>
      <c r="D667" t="s">
        <v>30</v>
      </c>
      <c r="E667" t="s">
        <v>66</v>
      </c>
      <c r="F667" t="s">
        <v>22</v>
      </c>
      <c r="G667" t="s">
        <v>113</v>
      </c>
      <c r="H667" t="s">
        <v>87</v>
      </c>
      <c r="I667" t="s">
        <v>60</v>
      </c>
      <c r="J667" t="s">
        <v>35</v>
      </c>
      <c r="K667" t="s">
        <v>53</v>
      </c>
      <c r="L667">
        <v>12.54</v>
      </c>
      <c r="M667">
        <v>21</v>
      </c>
      <c r="N667" s="2">
        <v>0.1</v>
      </c>
      <c r="O667">
        <v>263.33999999999997</v>
      </c>
      <c r="P667">
        <v>26.334</v>
      </c>
      <c r="Q667">
        <f>Sheet1__3_1_1_1[[#This Row],[Gross_Revenue]]-Sheet1__3_1_1_1[[#This Row],[Discount_Amount]]</f>
        <v>237.00599999999997</v>
      </c>
      <c r="R667">
        <v>130.36000000000001</v>
      </c>
      <c r="S667">
        <f>Sheet1__3_1_1_1[[#This Row],[Net_Revenue]]-Sheet1__3_1_1_1[[#This Row],[COGS]]</f>
        <v>106.64599999999996</v>
      </c>
    </row>
    <row r="668" spans="1:19" x14ac:dyDescent="0.25">
      <c r="A668" t="s">
        <v>763</v>
      </c>
      <c r="B668" s="1">
        <v>44833</v>
      </c>
      <c r="C668" t="s">
        <v>77</v>
      </c>
      <c r="D668" t="s">
        <v>82</v>
      </c>
      <c r="E668" t="s">
        <v>66</v>
      </c>
      <c r="F668" t="s">
        <v>55</v>
      </c>
      <c r="G668" t="s">
        <v>67</v>
      </c>
      <c r="H668" t="s">
        <v>87</v>
      </c>
      <c r="I668" t="s">
        <v>25</v>
      </c>
      <c r="J668" t="s">
        <v>26</v>
      </c>
      <c r="K668" t="s">
        <v>36</v>
      </c>
      <c r="L668">
        <v>77.27</v>
      </c>
      <c r="M668">
        <v>2</v>
      </c>
      <c r="N668" s="2">
        <v>0.1</v>
      </c>
      <c r="O668">
        <v>154.54</v>
      </c>
      <c r="P668">
        <v>15.454000000000001</v>
      </c>
      <c r="Q668">
        <f>Sheet1__3_1_1_1[[#This Row],[Gross_Revenue]]-Sheet1__3_1_1_1[[#This Row],[Discount_Amount]]</f>
        <v>139.08599999999998</v>
      </c>
      <c r="R668">
        <v>58.42</v>
      </c>
      <c r="S668">
        <f>Sheet1__3_1_1_1[[#This Row],[Net_Revenue]]-Sheet1__3_1_1_1[[#This Row],[COGS]]</f>
        <v>80.665999999999983</v>
      </c>
    </row>
    <row r="669" spans="1:19" x14ac:dyDescent="0.25">
      <c r="A669" t="s">
        <v>764</v>
      </c>
      <c r="B669" s="1">
        <v>44820</v>
      </c>
      <c r="C669" t="s">
        <v>77</v>
      </c>
      <c r="D669" t="s">
        <v>78</v>
      </c>
      <c r="E669" t="s">
        <v>21</v>
      </c>
      <c r="F669" t="s">
        <v>69</v>
      </c>
      <c r="G669" t="s">
        <v>101</v>
      </c>
      <c r="H669" t="s">
        <v>47</v>
      </c>
      <c r="I669" t="s">
        <v>42</v>
      </c>
      <c r="J669" t="s">
        <v>35</v>
      </c>
      <c r="K669" t="s">
        <v>36</v>
      </c>
      <c r="L669">
        <v>8.1300000000000008</v>
      </c>
      <c r="M669">
        <v>15</v>
      </c>
      <c r="N669" s="2">
        <v>0</v>
      </c>
      <c r="O669">
        <v>121.95000000000002</v>
      </c>
      <c r="P669">
        <v>0</v>
      </c>
      <c r="Q669">
        <f>Sheet1__3_1_1_1[[#This Row],[Gross_Revenue]]-Sheet1__3_1_1_1[[#This Row],[Discount_Amount]]</f>
        <v>121.95000000000002</v>
      </c>
      <c r="R669">
        <v>46.34</v>
      </c>
      <c r="S669">
        <f>Sheet1__3_1_1_1[[#This Row],[Net_Revenue]]-Sheet1__3_1_1_1[[#This Row],[COGS]]</f>
        <v>75.610000000000014</v>
      </c>
    </row>
    <row r="670" spans="1:19" x14ac:dyDescent="0.25">
      <c r="A670" t="s">
        <v>765</v>
      </c>
      <c r="B670" s="1">
        <v>44820</v>
      </c>
      <c r="C670" t="s">
        <v>99</v>
      </c>
      <c r="D670" t="s">
        <v>132</v>
      </c>
      <c r="E670" t="s">
        <v>39</v>
      </c>
      <c r="F670" t="s">
        <v>31</v>
      </c>
      <c r="G670" t="s">
        <v>40</v>
      </c>
      <c r="H670" t="s">
        <v>71</v>
      </c>
      <c r="I670" t="s">
        <v>25</v>
      </c>
      <c r="J670" t="s">
        <v>49</v>
      </c>
      <c r="K670" t="s">
        <v>36</v>
      </c>
      <c r="L670">
        <v>263.67</v>
      </c>
      <c r="M670">
        <v>4</v>
      </c>
      <c r="N670" s="2">
        <v>0.15</v>
      </c>
      <c r="O670">
        <v>1054.68</v>
      </c>
      <c r="P670">
        <v>158.202</v>
      </c>
      <c r="Q670">
        <f>Sheet1__3_1_1_1[[#This Row],[Gross_Revenue]]-Sheet1__3_1_1_1[[#This Row],[Discount_Amount]]</f>
        <v>896.47800000000007</v>
      </c>
      <c r="R670">
        <v>430.31</v>
      </c>
      <c r="S670">
        <f>Sheet1__3_1_1_1[[#This Row],[Net_Revenue]]-Sheet1__3_1_1_1[[#This Row],[COGS]]</f>
        <v>466.16800000000006</v>
      </c>
    </row>
    <row r="671" spans="1:19" x14ac:dyDescent="0.25">
      <c r="A671" t="s">
        <v>766</v>
      </c>
      <c r="B671" s="1">
        <v>44765</v>
      </c>
      <c r="C671" t="s">
        <v>44</v>
      </c>
      <c r="D671" t="s">
        <v>51</v>
      </c>
      <c r="E671" t="s">
        <v>39</v>
      </c>
      <c r="F671" t="s">
        <v>22</v>
      </c>
      <c r="G671" t="s">
        <v>23</v>
      </c>
      <c r="H671" t="s">
        <v>71</v>
      </c>
      <c r="I671" t="s">
        <v>42</v>
      </c>
      <c r="J671" t="s">
        <v>26</v>
      </c>
      <c r="K671" t="s">
        <v>143</v>
      </c>
      <c r="L671">
        <v>17.399999999999999</v>
      </c>
      <c r="M671">
        <v>15</v>
      </c>
      <c r="N671" s="2">
        <v>0</v>
      </c>
      <c r="O671">
        <v>261</v>
      </c>
      <c r="P671">
        <v>0</v>
      </c>
      <c r="Q671">
        <f>Sheet1__3_1_1_1[[#This Row],[Gross_Revenue]]-Sheet1__3_1_1_1[[#This Row],[Discount_Amount]]</f>
        <v>261</v>
      </c>
      <c r="R671">
        <v>143.55000000000001</v>
      </c>
      <c r="S671">
        <f>Sheet1__3_1_1_1[[#This Row],[Net_Revenue]]-Sheet1__3_1_1_1[[#This Row],[COGS]]</f>
        <v>117.44999999999999</v>
      </c>
    </row>
    <row r="672" spans="1:19" x14ac:dyDescent="0.25">
      <c r="A672" t="s">
        <v>767</v>
      </c>
      <c r="B672" s="1">
        <v>45002</v>
      </c>
      <c r="C672" t="s">
        <v>29</v>
      </c>
      <c r="D672" t="s">
        <v>30</v>
      </c>
      <c r="E672" t="s">
        <v>39</v>
      </c>
      <c r="F672" t="s">
        <v>22</v>
      </c>
      <c r="G672" t="s">
        <v>113</v>
      </c>
      <c r="H672" t="s">
        <v>47</v>
      </c>
      <c r="I672" t="s">
        <v>42</v>
      </c>
      <c r="J672" t="s">
        <v>49</v>
      </c>
      <c r="K672" t="s">
        <v>36</v>
      </c>
      <c r="L672">
        <v>14.93</v>
      </c>
      <c r="M672">
        <v>2</v>
      </c>
      <c r="N672" s="2">
        <v>0</v>
      </c>
      <c r="O672">
        <v>29.86</v>
      </c>
      <c r="P672">
        <v>0</v>
      </c>
      <c r="Q672">
        <f>Sheet1__3_1_1_1[[#This Row],[Gross_Revenue]]-Sheet1__3_1_1_1[[#This Row],[Discount_Amount]]</f>
        <v>29.86</v>
      </c>
      <c r="R672">
        <v>16.420000000000002</v>
      </c>
      <c r="S672">
        <f>Sheet1__3_1_1_1[[#This Row],[Net_Revenue]]-Sheet1__3_1_1_1[[#This Row],[COGS]]</f>
        <v>13.439999999999998</v>
      </c>
    </row>
    <row r="673" spans="1:19" x14ac:dyDescent="0.25">
      <c r="A673" t="s">
        <v>768</v>
      </c>
      <c r="B673" s="1">
        <v>44687</v>
      </c>
      <c r="C673" t="s">
        <v>77</v>
      </c>
      <c r="D673" t="s">
        <v>110</v>
      </c>
      <c r="E673" t="s">
        <v>39</v>
      </c>
      <c r="F673" t="s">
        <v>31</v>
      </c>
      <c r="G673" t="s">
        <v>32</v>
      </c>
      <c r="H673" t="s">
        <v>24</v>
      </c>
      <c r="I673" t="s">
        <v>34</v>
      </c>
      <c r="J673" t="s">
        <v>49</v>
      </c>
      <c r="K673" t="s">
        <v>143</v>
      </c>
      <c r="L673">
        <v>402.98</v>
      </c>
      <c r="M673">
        <v>2</v>
      </c>
      <c r="N673" s="2">
        <v>0.1</v>
      </c>
      <c r="O673">
        <v>805.96</v>
      </c>
      <c r="P673">
        <v>80.596000000000004</v>
      </c>
      <c r="Q673">
        <f>Sheet1__3_1_1_1[[#This Row],[Gross_Revenue]]-Sheet1__3_1_1_1[[#This Row],[Discount_Amount]]</f>
        <v>725.36400000000003</v>
      </c>
      <c r="R673">
        <v>348.17</v>
      </c>
      <c r="S673">
        <f>Sheet1__3_1_1_1[[#This Row],[Net_Revenue]]-Sheet1__3_1_1_1[[#This Row],[COGS]]</f>
        <v>377.19400000000002</v>
      </c>
    </row>
    <row r="674" spans="1:19" x14ac:dyDescent="0.25">
      <c r="A674" t="s">
        <v>769</v>
      </c>
      <c r="B674" s="1">
        <v>44733</v>
      </c>
      <c r="C674" t="s">
        <v>29</v>
      </c>
      <c r="D674" t="s">
        <v>62</v>
      </c>
      <c r="E674" t="s">
        <v>21</v>
      </c>
      <c r="F674" t="s">
        <v>69</v>
      </c>
      <c r="G674" t="s">
        <v>73</v>
      </c>
      <c r="H674" t="s">
        <v>106</v>
      </c>
      <c r="I674" t="s">
        <v>42</v>
      </c>
      <c r="J674" t="s">
        <v>89</v>
      </c>
      <c r="K674" t="s">
        <v>143</v>
      </c>
      <c r="L674">
        <v>12.11</v>
      </c>
      <c r="M674">
        <v>4</v>
      </c>
      <c r="N674" s="2">
        <v>0</v>
      </c>
      <c r="O674">
        <v>48.44</v>
      </c>
      <c r="P674">
        <v>0</v>
      </c>
      <c r="Q674">
        <f>Sheet1__3_1_1_1[[#This Row],[Gross_Revenue]]-Sheet1__3_1_1_1[[#This Row],[Discount_Amount]]</f>
        <v>48.44</v>
      </c>
      <c r="R674">
        <v>18.41</v>
      </c>
      <c r="S674">
        <f>Sheet1__3_1_1_1[[#This Row],[Net_Revenue]]-Sheet1__3_1_1_1[[#This Row],[COGS]]</f>
        <v>30.029999999999998</v>
      </c>
    </row>
    <row r="675" spans="1:19" x14ac:dyDescent="0.25">
      <c r="A675" t="s">
        <v>770</v>
      </c>
      <c r="B675" s="1">
        <v>44650</v>
      </c>
      <c r="C675" t="s">
        <v>19</v>
      </c>
      <c r="D675" t="s">
        <v>91</v>
      </c>
      <c r="E675" t="s">
        <v>63</v>
      </c>
      <c r="F675" t="s">
        <v>31</v>
      </c>
      <c r="G675" t="s">
        <v>166</v>
      </c>
      <c r="H675" t="s">
        <v>33</v>
      </c>
      <c r="I675" t="s">
        <v>34</v>
      </c>
      <c r="J675" t="s">
        <v>26</v>
      </c>
      <c r="K675" t="s">
        <v>36</v>
      </c>
      <c r="L675">
        <v>301.39</v>
      </c>
      <c r="M675">
        <v>6</v>
      </c>
      <c r="N675" s="2">
        <v>0</v>
      </c>
      <c r="O675">
        <v>1808.34</v>
      </c>
      <c r="P675">
        <v>0</v>
      </c>
      <c r="Q675">
        <f>Sheet1__3_1_1_1[[#This Row],[Gross_Revenue]]-Sheet1__3_1_1_1[[#This Row],[Discount_Amount]]</f>
        <v>1808.34</v>
      </c>
      <c r="R675">
        <v>868</v>
      </c>
      <c r="S675">
        <f>Sheet1__3_1_1_1[[#This Row],[Net_Revenue]]-Sheet1__3_1_1_1[[#This Row],[COGS]]</f>
        <v>940.33999999999992</v>
      </c>
    </row>
    <row r="676" spans="1:19" x14ac:dyDescent="0.25">
      <c r="A676" t="s">
        <v>771</v>
      </c>
      <c r="B676" s="1">
        <v>44741</v>
      </c>
      <c r="C676" t="s">
        <v>29</v>
      </c>
      <c r="D676" t="s">
        <v>62</v>
      </c>
      <c r="E676" t="s">
        <v>21</v>
      </c>
      <c r="F676" t="s">
        <v>79</v>
      </c>
      <c r="G676" t="s">
        <v>85</v>
      </c>
      <c r="H676" t="s">
        <v>71</v>
      </c>
      <c r="I676" t="s">
        <v>42</v>
      </c>
      <c r="J676" t="s">
        <v>94</v>
      </c>
      <c r="K676" t="s">
        <v>36</v>
      </c>
      <c r="L676">
        <v>730.8</v>
      </c>
      <c r="M676">
        <v>5</v>
      </c>
      <c r="N676" s="2">
        <v>0.2</v>
      </c>
      <c r="O676">
        <v>3654</v>
      </c>
      <c r="P676">
        <v>730.80000000000007</v>
      </c>
      <c r="Q676">
        <f>Sheet1__3_1_1_1[[#This Row],[Gross_Revenue]]-Sheet1__3_1_1_1[[#This Row],[Discount_Amount]]</f>
        <v>2923.2</v>
      </c>
      <c r="R676">
        <v>1812.38</v>
      </c>
      <c r="S676">
        <f>Sheet1__3_1_1_1[[#This Row],[Net_Revenue]]-Sheet1__3_1_1_1[[#This Row],[COGS]]</f>
        <v>1110.8199999999997</v>
      </c>
    </row>
    <row r="677" spans="1:19" x14ac:dyDescent="0.25">
      <c r="A677" t="s">
        <v>772</v>
      </c>
      <c r="B677" s="1">
        <v>44747</v>
      </c>
      <c r="C677" t="s">
        <v>29</v>
      </c>
      <c r="D677" t="s">
        <v>62</v>
      </c>
      <c r="E677" t="s">
        <v>39</v>
      </c>
      <c r="F677" t="s">
        <v>55</v>
      </c>
      <c r="G677" t="s">
        <v>83</v>
      </c>
      <c r="H677" t="s">
        <v>41</v>
      </c>
      <c r="I677" t="s">
        <v>34</v>
      </c>
      <c r="J677" t="s">
        <v>49</v>
      </c>
      <c r="K677" t="s">
        <v>53</v>
      </c>
      <c r="L677">
        <v>64.459999999999994</v>
      </c>
      <c r="M677">
        <v>7</v>
      </c>
      <c r="N677" s="2">
        <v>0.15</v>
      </c>
      <c r="O677">
        <v>451.21999999999997</v>
      </c>
      <c r="P677">
        <v>67.682999999999993</v>
      </c>
      <c r="Q677">
        <f>Sheet1__3_1_1_1[[#This Row],[Gross_Revenue]]-Sheet1__3_1_1_1[[#This Row],[Discount_Amount]]</f>
        <v>383.53699999999998</v>
      </c>
      <c r="R677">
        <v>161.09</v>
      </c>
      <c r="S677">
        <f>Sheet1__3_1_1_1[[#This Row],[Net_Revenue]]-Sheet1__3_1_1_1[[#This Row],[COGS]]</f>
        <v>222.44699999999997</v>
      </c>
    </row>
    <row r="678" spans="1:19" x14ac:dyDescent="0.25">
      <c r="A678" t="s">
        <v>773</v>
      </c>
      <c r="B678" s="1">
        <v>45027</v>
      </c>
      <c r="C678" t="s">
        <v>19</v>
      </c>
      <c r="D678" t="s">
        <v>20</v>
      </c>
      <c r="E678" t="s">
        <v>66</v>
      </c>
      <c r="F678" t="s">
        <v>69</v>
      </c>
      <c r="G678" t="s">
        <v>73</v>
      </c>
      <c r="H678" t="s">
        <v>106</v>
      </c>
      <c r="I678" t="s">
        <v>42</v>
      </c>
      <c r="J678" t="s">
        <v>49</v>
      </c>
      <c r="K678" t="s">
        <v>143</v>
      </c>
      <c r="L678">
        <v>12.46</v>
      </c>
      <c r="M678">
        <v>20</v>
      </c>
      <c r="N678" s="2">
        <v>0.1</v>
      </c>
      <c r="O678">
        <v>249.20000000000002</v>
      </c>
      <c r="P678">
        <v>24.92</v>
      </c>
      <c r="Q678">
        <f>Sheet1__3_1_1_1[[#This Row],[Gross_Revenue]]-Sheet1__3_1_1_1[[#This Row],[Discount_Amount]]</f>
        <v>224.28000000000003</v>
      </c>
      <c r="R678">
        <v>85.23</v>
      </c>
      <c r="S678">
        <f>Sheet1__3_1_1_1[[#This Row],[Net_Revenue]]-Sheet1__3_1_1_1[[#This Row],[COGS]]</f>
        <v>139.05000000000001</v>
      </c>
    </row>
    <row r="679" spans="1:19" x14ac:dyDescent="0.25">
      <c r="A679" t="s">
        <v>774</v>
      </c>
      <c r="B679" s="1">
        <v>44634</v>
      </c>
      <c r="C679" t="s">
        <v>99</v>
      </c>
      <c r="D679" t="s">
        <v>148</v>
      </c>
      <c r="E679" t="s">
        <v>66</v>
      </c>
      <c r="F679" t="s">
        <v>22</v>
      </c>
      <c r="G679" t="s">
        <v>23</v>
      </c>
      <c r="H679" t="s">
        <v>106</v>
      </c>
      <c r="I679" t="s">
        <v>34</v>
      </c>
      <c r="J679" t="s">
        <v>89</v>
      </c>
      <c r="K679" t="s">
        <v>36</v>
      </c>
      <c r="L679">
        <v>18.2</v>
      </c>
      <c r="M679">
        <v>27</v>
      </c>
      <c r="N679" s="2">
        <v>0</v>
      </c>
      <c r="O679">
        <v>491.4</v>
      </c>
      <c r="P679">
        <v>0</v>
      </c>
      <c r="Q679">
        <f>Sheet1__3_1_1_1[[#This Row],[Gross_Revenue]]-Sheet1__3_1_1_1[[#This Row],[Discount_Amount]]</f>
        <v>491.4</v>
      </c>
      <c r="R679">
        <v>270.27</v>
      </c>
      <c r="S679">
        <f>Sheet1__3_1_1_1[[#This Row],[Net_Revenue]]-Sheet1__3_1_1_1[[#This Row],[COGS]]</f>
        <v>221.13</v>
      </c>
    </row>
    <row r="680" spans="1:19" x14ac:dyDescent="0.25">
      <c r="A680" t="s">
        <v>775</v>
      </c>
      <c r="B680" s="1">
        <v>45248</v>
      </c>
      <c r="C680" t="s">
        <v>99</v>
      </c>
      <c r="D680" t="s">
        <v>148</v>
      </c>
      <c r="E680" t="s">
        <v>63</v>
      </c>
      <c r="F680" t="s">
        <v>55</v>
      </c>
      <c r="G680" t="s">
        <v>83</v>
      </c>
      <c r="H680" t="s">
        <v>52</v>
      </c>
      <c r="I680" t="s">
        <v>42</v>
      </c>
      <c r="J680" t="s">
        <v>89</v>
      </c>
      <c r="K680" t="s">
        <v>36</v>
      </c>
      <c r="L680">
        <v>62.58</v>
      </c>
      <c r="M680">
        <v>5</v>
      </c>
      <c r="N680" s="2">
        <v>0.1</v>
      </c>
      <c r="O680">
        <v>312.89999999999998</v>
      </c>
      <c r="P680">
        <v>31.29</v>
      </c>
      <c r="Q680">
        <f>Sheet1__3_1_1_1[[#This Row],[Gross_Revenue]]-Sheet1__3_1_1_1[[#This Row],[Discount_Amount]]</f>
        <v>281.60999999999996</v>
      </c>
      <c r="R680">
        <v>118.28</v>
      </c>
      <c r="S680">
        <f>Sheet1__3_1_1_1[[#This Row],[Net_Revenue]]-Sheet1__3_1_1_1[[#This Row],[COGS]]</f>
        <v>163.32999999999996</v>
      </c>
    </row>
    <row r="681" spans="1:19" x14ac:dyDescent="0.25">
      <c r="A681" t="s">
        <v>776</v>
      </c>
      <c r="B681" s="1">
        <v>44999</v>
      </c>
      <c r="C681" t="s">
        <v>77</v>
      </c>
      <c r="D681" t="s">
        <v>82</v>
      </c>
      <c r="E681" t="s">
        <v>63</v>
      </c>
      <c r="F681" t="s">
        <v>22</v>
      </c>
      <c r="G681" t="s">
        <v>113</v>
      </c>
      <c r="H681" t="s">
        <v>87</v>
      </c>
      <c r="I681" t="s">
        <v>42</v>
      </c>
      <c r="J681" t="s">
        <v>94</v>
      </c>
      <c r="K681" t="s">
        <v>27</v>
      </c>
      <c r="L681">
        <v>12.7</v>
      </c>
      <c r="M681">
        <v>15</v>
      </c>
      <c r="N681" s="2">
        <v>0.05</v>
      </c>
      <c r="O681">
        <v>190.5</v>
      </c>
      <c r="P681">
        <v>9.5250000000000004</v>
      </c>
      <c r="Q681">
        <f>Sheet1__3_1_1_1[[#This Row],[Gross_Revenue]]-Sheet1__3_1_1_1[[#This Row],[Discount_Amount]]</f>
        <v>180.97499999999999</v>
      </c>
      <c r="R681">
        <v>99.53</v>
      </c>
      <c r="S681">
        <f>Sheet1__3_1_1_1[[#This Row],[Net_Revenue]]-Sheet1__3_1_1_1[[#This Row],[COGS]]</f>
        <v>81.444999999999993</v>
      </c>
    </row>
    <row r="682" spans="1:19" x14ac:dyDescent="0.25">
      <c r="A682" t="s">
        <v>777</v>
      </c>
      <c r="B682" s="1">
        <v>44802</v>
      </c>
      <c r="C682" t="s">
        <v>19</v>
      </c>
      <c r="D682" t="s">
        <v>91</v>
      </c>
      <c r="E682" t="s">
        <v>63</v>
      </c>
      <c r="F682" t="s">
        <v>31</v>
      </c>
      <c r="G682" t="s">
        <v>40</v>
      </c>
      <c r="H682" t="s">
        <v>41</v>
      </c>
      <c r="I682" t="s">
        <v>48</v>
      </c>
      <c r="J682" t="s">
        <v>94</v>
      </c>
      <c r="K682" t="s">
        <v>36</v>
      </c>
      <c r="L682">
        <v>192.24</v>
      </c>
      <c r="M682">
        <v>6</v>
      </c>
      <c r="N682" s="2">
        <v>0</v>
      </c>
      <c r="O682">
        <v>1153.44</v>
      </c>
      <c r="P682">
        <v>0</v>
      </c>
      <c r="Q682">
        <f>Sheet1__3_1_1_1[[#This Row],[Gross_Revenue]]-Sheet1__3_1_1_1[[#This Row],[Discount_Amount]]</f>
        <v>1153.44</v>
      </c>
      <c r="R682">
        <v>553.65</v>
      </c>
      <c r="S682">
        <f>Sheet1__3_1_1_1[[#This Row],[Net_Revenue]]-Sheet1__3_1_1_1[[#This Row],[COGS]]</f>
        <v>599.79000000000008</v>
      </c>
    </row>
    <row r="683" spans="1:19" x14ac:dyDescent="0.25">
      <c r="A683" t="s">
        <v>778</v>
      </c>
      <c r="B683" s="1">
        <v>45185</v>
      </c>
      <c r="C683" t="s">
        <v>44</v>
      </c>
      <c r="D683" t="s">
        <v>65</v>
      </c>
      <c r="E683" t="s">
        <v>63</v>
      </c>
      <c r="F683" t="s">
        <v>69</v>
      </c>
      <c r="G683" t="s">
        <v>73</v>
      </c>
      <c r="H683" t="s">
        <v>59</v>
      </c>
      <c r="I683" t="s">
        <v>25</v>
      </c>
      <c r="J683" t="s">
        <v>26</v>
      </c>
      <c r="K683" t="s">
        <v>36</v>
      </c>
      <c r="L683">
        <v>14.12</v>
      </c>
      <c r="M683">
        <v>22</v>
      </c>
      <c r="N683" s="2">
        <v>0.1</v>
      </c>
      <c r="O683">
        <v>310.64</v>
      </c>
      <c r="P683">
        <v>31.064</v>
      </c>
      <c r="Q683">
        <f>Sheet1__3_1_1_1[[#This Row],[Gross_Revenue]]-Sheet1__3_1_1_1[[#This Row],[Discount_Amount]]</f>
        <v>279.57599999999996</v>
      </c>
      <c r="R683">
        <v>106.24</v>
      </c>
      <c r="S683">
        <f>Sheet1__3_1_1_1[[#This Row],[Net_Revenue]]-Sheet1__3_1_1_1[[#This Row],[COGS]]</f>
        <v>173.33599999999996</v>
      </c>
    </row>
    <row r="684" spans="1:19" x14ac:dyDescent="0.25">
      <c r="A684" t="s">
        <v>779</v>
      </c>
      <c r="B684" s="1">
        <v>44844</v>
      </c>
      <c r="C684" t="s">
        <v>19</v>
      </c>
      <c r="D684" t="s">
        <v>91</v>
      </c>
      <c r="E684" t="s">
        <v>39</v>
      </c>
      <c r="F684" t="s">
        <v>79</v>
      </c>
      <c r="G684" t="s">
        <v>172</v>
      </c>
      <c r="H684" t="s">
        <v>47</v>
      </c>
      <c r="I684" t="s">
        <v>42</v>
      </c>
      <c r="J684" t="s">
        <v>89</v>
      </c>
      <c r="K684" t="s">
        <v>36</v>
      </c>
      <c r="L684">
        <v>408.85</v>
      </c>
      <c r="N684" s="2">
        <v>0</v>
      </c>
      <c r="O684">
        <v>0</v>
      </c>
      <c r="P684">
        <v>0</v>
      </c>
      <c r="Q684">
        <f>Sheet1__3_1_1_1[[#This Row],[Gross_Revenue]]-Sheet1__3_1_1_1[[#This Row],[Discount_Amount]]</f>
        <v>0</v>
      </c>
      <c r="R684" t="s">
        <v>1147</v>
      </c>
      <c r="S684" t="e">
        <f>Sheet1__3_1_1_1[[#This Row],[Net_Revenue]]-Sheet1__3_1_1_1[[#This Row],[COGS]]</f>
        <v>#VALUE!</v>
      </c>
    </row>
    <row r="685" spans="1:19" x14ac:dyDescent="0.25">
      <c r="A685" t="s">
        <v>780</v>
      </c>
      <c r="B685" s="1">
        <v>44858</v>
      </c>
      <c r="C685" t="s">
        <v>19</v>
      </c>
      <c r="D685" t="s">
        <v>91</v>
      </c>
      <c r="E685" t="s">
        <v>39</v>
      </c>
      <c r="F685" t="s">
        <v>79</v>
      </c>
      <c r="G685" t="s">
        <v>56</v>
      </c>
      <c r="H685" t="s">
        <v>87</v>
      </c>
      <c r="I685" t="s">
        <v>25</v>
      </c>
      <c r="J685" t="s">
        <v>35</v>
      </c>
      <c r="K685" t="s">
        <v>36</v>
      </c>
      <c r="L685">
        <v>47.84</v>
      </c>
      <c r="M685">
        <v>4</v>
      </c>
      <c r="N685" s="2">
        <v>0.1</v>
      </c>
      <c r="O685">
        <v>191.36</v>
      </c>
      <c r="P685">
        <v>19.136000000000003</v>
      </c>
      <c r="Q685">
        <f>Sheet1__3_1_1_1[[#This Row],[Gross_Revenue]]-Sheet1__3_1_1_1[[#This Row],[Discount_Amount]]</f>
        <v>172.22400000000002</v>
      </c>
      <c r="R685">
        <v>106.78</v>
      </c>
      <c r="S685">
        <f>Sheet1__3_1_1_1[[#This Row],[Net_Revenue]]-Sheet1__3_1_1_1[[#This Row],[COGS]]</f>
        <v>65.444000000000017</v>
      </c>
    </row>
    <row r="686" spans="1:19" x14ac:dyDescent="0.25">
      <c r="A686" t="s">
        <v>781</v>
      </c>
      <c r="B686" s="1">
        <v>44782</v>
      </c>
      <c r="C686" t="s">
        <v>77</v>
      </c>
      <c r="D686" t="s">
        <v>78</v>
      </c>
      <c r="E686" t="s">
        <v>63</v>
      </c>
      <c r="F686" t="s">
        <v>31</v>
      </c>
      <c r="G686" t="s">
        <v>166</v>
      </c>
      <c r="H686" t="s">
        <v>41</v>
      </c>
      <c r="I686" t="s">
        <v>25</v>
      </c>
      <c r="J686" t="s">
        <v>94</v>
      </c>
      <c r="K686" t="s">
        <v>53</v>
      </c>
      <c r="L686">
        <v>282.76</v>
      </c>
      <c r="M686">
        <v>6</v>
      </c>
      <c r="N686" s="2">
        <v>0.15</v>
      </c>
      <c r="O686">
        <v>1696.56</v>
      </c>
      <c r="P686">
        <v>254.48399999999998</v>
      </c>
      <c r="Q686">
        <f>Sheet1__3_1_1_1[[#This Row],[Gross_Revenue]]-Sheet1__3_1_1_1[[#This Row],[Discount_Amount]]</f>
        <v>1442.076</v>
      </c>
      <c r="R686">
        <v>692.2</v>
      </c>
      <c r="S686">
        <f>Sheet1__3_1_1_1[[#This Row],[Net_Revenue]]-Sheet1__3_1_1_1[[#This Row],[COGS]]</f>
        <v>749.87599999999998</v>
      </c>
    </row>
    <row r="687" spans="1:19" x14ac:dyDescent="0.25">
      <c r="A687" t="s">
        <v>782</v>
      </c>
      <c r="B687" s="1">
        <v>44754</v>
      </c>
      <c r="C687" t="s">
        <v>77</v>
      </c>
      <c r="D687" t="s">
        <v>110</v>
      </c>
      <c r="E687" t="s">
        <v>66</v>
      </c>
      <c r="F687" t="s">
        <v>69</v>
      </c>
      <c r="G687" t="s">
        <v>126</v>
      </c>
      <c r="H687" t="s">
        <v>108</v>
      </c>
      <c r="I687" t="s">
        <v>34</v>
      </c>
      <c r="J687" t="s">
        <v>49</v>
      </c>
      <c r="K687" t="s">
        <v>36</v>
      </c>
      <c r="L687">
        <v>27.27</v>
      </c>
      <c r="M687">
        <v>1</v>
      </c>
      <c r="N687" s="2">
        <v>0.1</v>
      </c>
      <c r="O687">
        <v>27.27</v>
      </c>
      <c r="P687">
        <v>2.7270000000000003</v>
      </c>
      <c r="Q687">
        <f>Sheet1__3_1_1_1[[#This Row],[Gross_Revenue]]-Sheet1__3_1_1_1[[#This Row],[Discount_Amount]]</f>
        <v>24.542999999999999</v>
      </c>
      <c r="R687">
        <v>9.33</v>
      </c>
      <c r="S687">
        <f>Sheet1__3_1_1_1[[#This Row],[Net_Revenue]]-Sheet1__3_1_1_1[[#This Row],[COGS]]</f>
        <v>15.212999999999999</v>
      </c>
    </row>
    <row r="688" spans="1:19" x14ac:dyDescent="0.25">
      <c r="A688" t="s">
        <v>783</v>
      </c>
      <c r="B688" s="1">
        <v>45258</v>
      </c>
      <c r="C688" t="s">
        <v>44</v>
      </c>
      <c r="D688" t="s">
        <v>45</v>
      </c>
      <c r="E688" t="s">
        <v>21</v>
      </c>
      <c r="F688" t="s">
        <v>55</v>
      </c>
      <c r="G688" t="s">
        <v>120</v>
      </c>
      <c r="H688" t="s">
        <v>47</v>
      </c>
      <c r="I688" t="s">
        <v>34</v>
      </c>
      <c r="J688" t="s">
        <v>35</v>
      </c>
      <c r="K688" t="s">
        <v>36</v>
      </c>
      <c r="L688" t="s">
        <v>1147</v>
      </c>
      <c r="M688">
        <v>8</v>
      </c>
      <c r="N688" s="2">
        <v>0</v>
      </c>
      <c r="O688">
        <v>0</v>
      </c>
      <c r="P688">
        <v>0</v>
      </c>
      <c r="Q688">
        <f>Sheet1__3_1_1_1[[#This Row],[Gross_Revenue]]-Sheet1__3_1_1_1[[#This Row],[Discount_Amount]]</f>
        <v>0</v>
      </c>
      <c r="R688" t="s">
        <v>1147</v>
      </c>
      <c r="S688" t="e">
        <f>Sheet1__3_1_1_1[[#This Row],[Net_Revenue]]-Sheet1__3_1_1_1[[#This Row],[COGS]]</f>
        <v>#VALUE!</v>
      </c>
    </row>
    <row r="689" spans="1:19" x14ac:dyDescent="0.25">
      <c r="A689" t="s">
        <v>784</v>
      </c>
      <c r="B689" s="1">
        <v>44852</v>
      </c>
      <c r="C689" t="s">
        <v>77</v>
      </c>
      <c r="D689" t="s">
        <v>110</v>
      </c>
      <c r="E689" t="s">
        <v>39</v>
      </c>
      <c r="F689" t="s">
        <v>55</v>
      </c>
      <c r="G689" t="s">
        <v>67</v>
      </c>
      <c r="H689" t="s">
        <v>59</v>
      </c>
      <c r="I689" t="s">
        <v>60</v>
      </c>
      <c r="J689" t="s">
        <v>26</v>
      </c>
      <c r="K689" t="s">
        <v>27</v>
      </c>
      <c r="L689">
        <v>71.040000000000006</v>
      </c>
      <c r="M689">
        <v>3</v>
      </c>
      <c r="N689" s="2">
        <v>0.1</v>
      </c>
      <c r="O689">
        <v>213.12</v>
      </c>
      <c r="P689">
        <v>21.312000000000001</v>
      </c>
      <c r="Q689">
        <f>Sheet1__3_1_1_1[[#This Row],[Gross_Revenue]]-Sheet1__3_1_1_1[[#This Row],[Discount_Amount]]</f>
        <v>191.80799999999999</v>
      </c>
      <c r="R689">
        <v>80.56</v>
      </c>
      <c r="S689">
        <f>Sheet1__3_1_1_1[[#This Row],[Net_Revenue]]-Sheet1__3_1_1_1[[#This Row],[COGS]]</f>
        <v>111.24799999999999</v>
      </c>
    </row>
    <row r="690" spans="1:19" x14ac:dyDescent="0.25">
      <c r="A690" t="s">
        <v>785</v>
      </c>
      <c r="B690" s="1">
        <v>44983</v>
      </c>
      <c r="C690" t="s">
        <v>29</v>
      </c>
      <c r="D690" t="s">
        <v>62</v>
      </c>
      <c r="E690" t="s">
        <v>63</v>
      </c>
      <c r="F690" t="s">
        <v>69</v>
      </c>
      <c r="G690" t="s">
        <v>101</v>
      </c>
      <c r="H690" t="s">
        <v>108</v>
      </c>
      <c r="I690" t="s">
        <v>42</v>
      </c>
      <c r="J690" t="s">
        <v>26</v>
      </c>
      <c r="K690" t="s">
        <v>53</v>
      </c>
      <c r="L690">
        <v>6.88</v>
      </c>
      <c r="M690">
        <v>10</v>
      </c>
      <c r="N690" s="2">
        <v>0</v>
      </c>
      <c r="O690">
        <v>68.8</v>
      </c>
      <c r="P690">
        <v>0</v>
      </c>
      <c r="Q690">
        <f>Sheet1__3_1_1_1[[#This Row],[Gross_Revenue]]-Sheet1__3_1_1_1[[#This Row],[Discount_Amount]]</f>
        <v>68.8</v>
      </c>
      <c r="R690">
        <v>26.14</v>
      </c>
      <c r="S690">
        <f>Sheet1__3_1_1_1[[#This Row],[Net_Revenue]]-Sheet1__3_1_1_1[[#This Row],[COGS]]</f>
        <v>42.66</v>
      </c>
    </row>
    <row r="691" spans="1:19" x14ac:dyDescent="0.25">
      <c r="A691" t="s">
        <v>786</v>
      </c>
      <c r="B691" s="1">
        <v>44689</v>
      </c>
      <c r="C691" t="s">
        <v>77</v>
      </c>
      <c r="D691" t="s">
        <v>78</v>
      </c>
      <c r="E691" t="s">
        <v>66</v>
      </c>
      <c r="F691" t="s">
        <v>22</v>
      </c>
      <c r="G691" t="s">
        <v>113</v>
      </c>
      <c r="H691" t="s">
        <v>111</v>
      </c>
      <c r="I691" t="s">
        <v>34</v>
      </c>
      <c r="J691" t="s">
        <v>94</v>
      </c>
      <c r="K691" t="s">
        <v>27</v>
      </c>
      <c r="L691">
        <v>13.78</v>
      </c>
      <c r="M691">
        <v>23</v>
      </c>
      <c r="N691" s="2">
        <v>0</v>
      </c>
      <c r="O691">
        <v>316.94</v>
      </c>
      <c r="P691">
        <v>0</v>
      </c>
      <c r="Q691">
        <f>Sheet1__3_1_1_1[[#This Row],[Gross_Revenue]]-Sheet1__3_1_1_1[[#This Row],[Discount_Amount]]</f>
        <v>316.94</v>
      </c>
      <c r="R691">
        <v>174.32</v>
      </c>
      <c r="S691">
        <f>Sheet1__3_1_1_1[[#This Row],[Net_Revenue]]-Sheet1__3_1_1_1[[#This Row],[COGS]]</f>
        <v>142.62</v>
      </c>
    </row>
    <row r="692" spans="1:19" x14ac:dyDescent="0.25">
      <c r="A692" t="s">
        <v>787</v>
      </c>
      <c r="B692" s="1">
        <v>45182</v>
      </c>
      <c r="C692" t="s">
        <v>77</v>
      </c>
      <c r="D692" t="s">
        <v>78</v>
      </c>
      <c r="E692" t="s">
        <v>21</v>
      </c>
      <c r="F692" t="s">
        <v>31</v>
      </c>
      <c r="G692" t="s">
        <v>122</v>
      </c>
      <c r="H692" t="s">
        <v>41</v>
      </c>
      <c r="I692" t="s">
        <v>60</v>
      </c>
      <c r="J692" t="s">
        <v>35</v>
      </c>
      <c r="K692" t="s">
        <v>27</v>
      </c>
      <c r="L692">
        <v>504.5</v>
      </c>
      <c r="M692">
        <v>3</v>
      </c>
      <c r="N692" s="2">
        <v>0.15</v>
      </c>
      <c r="O692">
        <v>1513.5</v>
      </c>
      <c r="P692">
        <v>227.02500000000001</v>
      </c>
      <c r="Q692">
        <f>Sheet1__3_1_1_1[[#This Row],[Gross_Revenue]]-Sheet1__3_1_1_1[[#This Row],[Discount_Amount]]</f>
        <v>1286.4749999999999</v>
      </c>
      <c r="R692">
        <v>617.51</v>
      </c>
      <c r="S692">
        <f>Sheet1__3_1_1_1[[#This Row],[Net_Revenue]]-Sheet1__3_1_1_1[[#This Row],[COGS]]</f>
        <v>668.96499999999992</v>
      </c>
    </row>
    <row r="693" spans="1:19" x14ac:dyDescent="0.25">
      <c r="A693" t="s">
        <v>788</v>
      </c>
      <c r="B693" s="1">
        <v>45105</v>
      </c>
      <c r="C693" t="s">
        <v>44</v>
      </c>
      <c r="D693" t="s">
        <v>65</v>
      </c>
      <c r="E693" t="s">
        <v>66</v>
      </c>
      <c r="F693" t="s">
        <v>31</v>
      </c>
      <c r="G693" t="s">
        <v>40</v>
      </c>
      <c r="H693" t="s">
        <v>41</v>
      </c>
      <c r="I693" t="s">
        <v>60</v>
      </c>
      <c r="J693" t="s">
        <v>89</v>
      </c>
      <c r="K693" t="s">
        <v>143</v>
      </c>
      <c r="L693">
        <v>260.08</v>
      </c>
      <c r="M693">
        <v>5</v>
      </c>
      <c r="N693" s="2">
        <v>0</v>
      </c>
      <c r="O693">
        <v>1300.3999999999999</v>
      </c>
      <c r="P693">
        <v>0</v>
      </c>
      <c r="Q693">
        <f>Sheet1__3_1_1_1[[#This Row],[Gross_Revenue]]-Sheet1__3_1_1_1[[#This Row],[Discount_Amount]]</f>
        <v>1300.3999999999999</v>
      </c>
      <c r="R693">
        <v>624.19000000000005</v>
      </c>
      <c r="S693">
        <f>Sheet1__3_1_1_1[[#This Row],[Net_Revenue]]-Sheet1__3_1_1_1[[#This Row],[COGS]]</f>
        <v>676.20999999999981</v>
      </c>
    </row>
    <row r="694" spans="1:19" x14ac:dyDescent="0.25">
      <c r="A694" t="s">
        <v>789</v>
      </c>
      <c r="B694" s="1">
        <v>44895</v>
      </c>
      <c r="C694" t="s">
        <v>99</v>
      </c>
      <c r="D694" t="s">
        <v>132</v>
      </c>
      <c r="E694" t="s">
        <v>39</v>
      </c>
      <c r="F694" t="s">
        <v>31</v>
      </c>
      <c r="G694" t="s">
        <v>166</v>
      </c>
      <c r="H694" t="s">
        <v>59</v>
      </c>
      <c r="I694" t="s">
        <v>25</v>
      </c>
      <c r="J694" t="s">
        <v>35</v>
      </c>
      <c r="K694" t="s">
        <v>36</v>
      </c>
      <c r="L694">
        <v>314.37</v>
      </c>
      <c r="M694">
        <v>1</v>
      </c>
      <c r="N694" s="2">
        <v>0.05</v>
      </c>
      <c r="O694">
        <v>314.37</v>
      </c>
      <c r="P694">
        <v>15.718500000000001</v>
      </c>
      <c r="Q694">
        <f>Sheet1__3_1_1_1[[#This Row],[Gross_Revenue]]-Sheet1__3_1_1_1[[#This Row],[Discount_Amount]]</f>
        <v>298.6515</v>
      </c>
      <c r="R694">
        <v>143.35</v>
      </c>
      <c r="S694">
        <f>Sheet1__3_1_1_1[[#This Row],[Net_Revenue]]-Sheet1__3_1_1_1[[#This Row],[COGS]]</f>
        <v>155.3015</v>
      </c>
    </row>
    <row r="695" spans="1:19" x14ac:dyDescent="0.25">
      <c r="A695" t="s">
        <v>790</v>
      </c>
      <c r="B695" s="1">
        <v>45279</v>
      </c>
      <c r="C695" t="s">
        <v>44</v>
      </c>
      <c r="D695" t="s">
        <v>45</v>
      </c>
      <c r="E695" t="s">
        <v>63</v>
      </c>
      <c r="F695" t="s">
        <v>22</v>
      </c>
      <c r="G695" t="s">
        <v>75</v>
      </c>
      <c r="H695" t="s">
        <v>57</v>
      </c>
      <c r="I695" t="s">
        <v>25</v>
      </c>
      <c r="J695" t="s">
        <v>89</v>
      </c>
      <c r="K695" t="s">
        <v>143</v>
      </c>
      <c r="L695">
        <v>9.2899999999999991</v>
      </c>
      <c r="M695">
        <v>3</v>
      </c>
      <c r="N695" s="2">
        <v>0.15</v>
      </c>
      <c r="O695">
        <v>27.869999999999997</v>
      </c>
      <c r="P695">
        <v>4.1804999999999994</v>
      </c>
      <c r="Q695">
        <f>Sheet1__3_1_1_1[[#This Row],[Gross_Revenue]]-Sheet1__3_1_1_1[[#This Row],[Discount_Amount]]</f>
        <v>23.689499999999999</v>
      </c>
      <c r="R695">
        <v>13.03</v>
      </c>
      <c r="S695">
        <f>Sheet1__3_1_1_1[[#This Row],[Net_Revenue]]-Sheet1__3_1_1_1[[#This Row],[COGS]]</f>
        <v>10.6595</v>
      </c>
    </row>
    <row r="696" spans="1:19" x14ac:dyDescent="0.25">
      <c r="A696" t="s">
        <v>791</v>
      </c>
      <c r="B696" s="1">
        <v>45121</v>
      </c>
      <c r="C696" t="s">
        <v>29</v>
      </c>
      <c r="D696" t="s">
        <v>30</v>
      </c>
      <c r="E696" t="s">
        <v>21</v>
      </c>
      <c r="F696" t="s">
        <v>31</v>
      </c>
      <c r="G696" t="s">
        <v>122</v>
      </c>
      <c r="H696" t="s">
        <v>111</v>
      </c>
      <c r="I696" t="s">
        <v>25</v>
      </c>
      <c r="J696" t="s">
        <v>35</v>
      </c>
      <c r="K696" t="s">
        <v>53</v>
      </c>
      <c r="L696">
        <v>468.33</v>
      </c>
      <c r="M696">
        <v>2</v>
      </c>
      <c r="N696" s="2">
        <v>0.15</v>
      </c>
      <c r="O696">
        <v>936.66</v>
      </c>
      <c r="P696">
        <v>140.499</v>
      </c>
      <c r="Q696">
        <f>Sheet1__3_1_1_1[[#This Row],[Gross_Revenue]]-Sheet1__3_1_1_1[[#This Row],[Discount_Amount]]</f>
        <v>796.16099999999994</v>
      </c>
      <c r="R696">
        <v>382.16</v>
      </c>
      <c r="S696">
        <f>Sheet1__3_1_1_1[[#This Row],[Net_Revenue]]-Sheet1__3_1_1_1[[#This Row],[COGS]]</f>
        <v>414.00099999999992</v>
      </c>
    </row>
    <row r="697" spans="1:19" x14ac:dyDescent="0.25">
      <c r="A697" t="s">
        <v>792</v>
      </c>
      <c r="B697" s="1">
        <v>44909</v>
      </c>
      <c r="C697" t="s">
        <v>44</v>
      </c>
      <c r="D697" t="s">
        <v>65</v>
      </c>
      <c r="E697" t="s">
        <v>63</v>
      </c>
      <c r="F697" t="s">
        <v>31</v>
      </c>
      <c r="G697" t="s">
        <v>32</v>
      </c>
      <c r="H697" t="s">
        <v>111</v>
      </c>
      <c r="I697" t="s">
        <v>60</v>
      </c>
      <c r="J697" t="s">
        <v>26</v>
      </c>
      <c r="K697" t="s">
        <v>36</v>
      </c>
      <c r="L697">
        <v>449.38</v>
      </c>
      <c r="M697">
        <v>3</v>
      </c>
      <c r="N697" s="2">
        <v>0.05</v>
      </c>
      <c r="O697">
        <v>1348.1399999999999</v>
      </c>
      <c r="P697">
        <v>67.406999999999996</v>
      </c>
      <c r="Q697">
        <f>Sheet1__3_1_1_1[[#This Row],[Gross_Revenue]]-Sheet1__3_1_1_1[[#This Row],[Discount_Amount]]</f>
        <v>1280.7329999999999</v>
      </c>
      <c r="R697">
        <v>614.75</v>
      </c>
      <c r="S697">
        <f>Sheet1__3_1_1_1[[#This Row],[Net_Revenue]]-Sheet1__3_1_1_1[[#This Row],[COGS]]</f>
        <v>665.98299999999995</v>
      </c>
    </row>
    <row r="698" spans="1:19" x14ac:dyDescent="0.25">
      <c r="A698" t="s">
        <v>793</v>
      </c>
      <c r="B698" s="1">
        <v>44915</v>
      </c>
      <c r="C698" t="s">
        <v>99</v>
      </c>
      <c r="D698" t="s">
        <v>100</v>
      </c>
      <c r="E698" t="s">
        <v>63</v>
      </c>
      <c r="F698" t="s">
        <v>79</v>
      </c>
      <c r="G698" t="s">
        <v>96</v>
      </c>
      <c r="H698" t="s">
        <v>71</v>
      </c>
      <c r="I698" t="s">
        <v>60</v>
      </c>
      <c r="J698" t="s">
        <v>49</v>
      </c>
      <c r="K698" t="s">
        <v>36</v>
      </c>
      <c r="L698">
        <v>419.03</v>
      </c>
      <c r="M698">
        <v>1</v>
      </c>
      <c r="N698" s="2">
        <v>0.1</v>
      </c>
      <c r="O698">
        <v>419.03</v>
      </c>
      <c r="P698">
        <v>41.902999999999999</v>
      </c>
      <c r="Q698">
        <f>Sheet1__3_1_1_1[[#This Row],[Gross_Revenue]]-Sheet1__3_1_1_1[[#This Row],[Discount_Amount]]</f>
        <v>377.12699999999995</v>
      </c>
      <c r="R698">
        <v>233.82</v>
      </c>
      <c r="S698">
        <f>Sheet1__3_1_1_1[[#This Row],[Net_Revenue]]-Sheet1__3_1_1_1[[#This Row],[COGS]]</f>
        <v>143.30699999999996</v>
      </c>
    </row>
    <row r="699" spans="1:19" x14ac:dyDescent="0.25">
      <c r="A699" t="s">
        <v>794</v>
      </c>
      <c r="B699" s="1">
        <v>45227</v>
      </c>
      <c r="C699" t="s">
        <v>44</v>
      </c>
      <c r="D699" t="s">
        <v>45</v>
      </c>
      <c r="E699" t="s">
        <v>39</v>
      </c>
      <c r="F699" t="s">
        <v>31</v>
      </c>
      <c r="G699" t="s">
        <v>166</v>
      </c>
      <c r="H699" t="s">
        <v>33</v>
      </c>
      <c r="I699" t="s">
        <v>42</v>
      </c>
      <c r="J699" t="s">
        <v>49</v>
      </c>
      <c r="K699" t="s">
        <v>36</v>
      </c>
      <c r="L699">
        <v>285.97000000000003</v>
      </c>
      <c r="M699">
        <v>3</v>
      </c>
      <c r="N699" s="2">
        <v>0</v>
      </c>
      <c r="O699">
        <v>857.91000000000008</v>
      </c>
      <c r="P699">
        <v>0</v>
      </c>
      <c r="Q699">
        <f>Sheet1__3_1_1_1[[#This Row],[Gross_Revenue]]-Sheet1__3_1_1_1[[#This Row],[Discount_Amount]]</f>
        <v>857.91000000000008</v>
      </c>
      <c r="R699">
        <v>411.8</v>
      </c>
      <c r="S699">
        <f>Sheet1__3_1_1_1[[#This Row],[Net_Revenue]]-Sheet1__3_1_1_1[[#This Row],[COGS]]</f>
        <v>446.11000000000007</v>
      </c>
    </row>
    <row r="700" spans="1:19" x14ac:dyDescent="0.25">
      <c r="A700" t="s">
        <v>795</v>
      </c>
      <c r="B700" s="1">
        <v>44990</v>
      </c>
      <c r="C700" t="s">
        <v>77</v>
      </c>
      <c r="D700" t="s">
        <v>78</v>
      </c>
      <c r="E700" t="s">
        <v>66</v>
      </c>
      <c r="F700" t="s">
        <v>79</v>
      </c>
      <c r="G700" t="s">
        <v>172</v>
      </c>
      <c r="H700" t="s">
        <v>87</v>
      </c>
      <c r="I700" t="s">
        <v>48</v>
      </c>
      <c r="J700" t="s">
        <v>35</v>
      </c>
      <c r="K700" t="s">
        <v>36</v>
      </c>
      <c r="L700">
        <v>393.58</v>
      </c>
      <c r="M700">
        <v>8</v>
      </c>
      <c r="N700" s="2">
        <v>0.15</v>
      </c>
      <c r="O700">
        <v>3148.64</v>
      </c>
      <c r="P700">
        <v>472.29599999999994</v>
      </c>
      <c r="Q700">
        <f>Sheet1__3_1_1_1[[#This Row],[Gross_Revenue]]-Sheet1__3_1_1_1[[#This Row],[Discount_Amount]]</f>
        <v>2676.3440000000001</v>
      </c>
      <c r="R700">
        <v>1659.33</v>
      </c>
      <c r="S700">
        <f>Sheet1__3_1_1_1[[#This Row],[Net_Revenue]]-Sheet1__3_1_1_1[[#This Row],[COGS]]</f>
        <v>1017.0140000000001</v>
      </c>
    </row>
    <row r="701" spans="1:19" x14ac:dyDescent="0.25">
      <c r="A701" t="s">
        <v>796</v>
      </c>
      <c r="B701" s="1">
        <v>44964</v>
      </c>
      <c r="C701" t="s">
        <v>29</v>
      </c>
      <c r="D701" t="s">
        <v>62</v>
      </c>
      <c r="E701" t="s">
        <v>39</v>
      </c>
      <c r="F701" t="s">
        <v>31</v>
      </c>
      <c r="G701" t="s">
        <v>122</v>
      </c>
      <c r="H701" t="s">
        <v>111</v>
      </c>
      <c r="I701" t="s">
        <v>48</v>
      </c>
      <c r="J701" t="s">
        <v>26</v>
      </c>
      <c r="K701" t="s">
        <v>53</v>
      </c>
      <c r="L701">
        <v>541.94000000000005</v>
      </c>
      <c r="M701">
        <v>5</v>
      </c>
      <c r="N701" s="2">
        <v>0.15</v>
      </c>
      <c r="O701">
        <v>2709.7000000000003</v>
      </c>
      <c r="P701">
        <v>406.45500000000004</v>
      </c>
      <c r="Q701">
        <f>Sheet1__3_1_1_1[[#This Row],[Gross_Revenue]]-Sheet1__3_1_1_1[[#This Row],[Discount_Amount]]</f>
        <v>2303.2450000000003</v>
      </c>
      <c r="R701">
        <v>1105.56</v>
      </c>
      <c r="S701">
        <f>Sheet1__3_1_1_1[[#This Row],[Net_Revenue]]-Sheet1__3_1_1_1[[#This Row],[COGS]]</f>
        <v>1197.6850000000004</v>
      </c>
    </row>
    <row r="702" spans="1:19" x14ac:dyDescent="0.25">
      <c r="A702" t="s">
        <v>797</v>
      </c>
      <c r="B702" s="1">
        <v>45035</v>
      </c>
      <c r="C702" t="s">
        <v>99</v>
      </c>
      <c r="D702" t="s">
        <v>148</v>
      </c>
      <c r="E702" t="s">
        <v>66</v>
      </c>
      <c r="F702" t="s">
        <v>31</v>
      </c>
      <c r="G702" t="s">
        <v>32</v>
      </c>
      <c r="H702" t="s">
        <v>52</v>
      </c>
      <c r="I702" t="s">
        <v>25</v>
      </c>
      <c r="J702" t="s">
        <v>94</v>
      </c>
      <c r="K702" t="s">
        <v>36</v>
      </c>
      <c r="L702" t="s">
        <v>1147</v>
      </c>
      <c r="M702">
        <v>7</v>
      </c>
      <c r="N702" s="2">
        <v>0.05</v>
      </c>
      <c r="O702">
        <v>0</v>
      </c>
      <c r="P702">
        <v>0</v>
      </c>
      <c r="Q702">
        <f>Sheet1__3_1_1_1[[#This Row],[Gross_Revenue]]-Sheet1__3_1_1_1[[#This Row],[Discount_Amount]]</f>
        <v>0</v>
      </c>
      <c r="R702" t="s">
        <v>1147</v>
      </c>
      <c r="S702" t="e">
        <f>Sheet1__3_1_1_1[[#This Row],[Net_Revenue]]-Sheet1__3_1_1_1[[#This Row],[COGS]]</f>
        <v>#VALUE!</v>
      </c>
    </row>
    <row r="703" spans="1:19" x14ac:dyDescent="0.25">
      <c r="A703" t="s">
        <v>798</v>
      </c>
      <c r="B703" s="1">
        <v>45222</v>
      </c>
      <c r="C703" t="s">
        <v>77</v>
      </c>
      <c r="D703" t="s">
        <v>78</v>
      </c>
      <c r="E703" t="s">
        <v>39</v>
      </c>
      <c r="F703" t="s">
        <v>22</v>
      </c>
      <c r="G703" t="s">
        <v>75</v>
      </c>
      <c r="H703" t="s">
        <v>33</v>
      </c>
      <c r="I703" t="s">
        <v>42</v>
      </c>
      <c r="J703" t="s">
        <v>89</v>
      </c>
      <c r="K703" t="s">
        <v>143</v>
      </c>
      <c r="L703">
        <v>9.34</v>
      </c>
      <c r="M703">
        <v>1</v>
      </c>
      <c r="N703" s="2">
        <v>0.2</v>
      </c>
      <c r="O703">
        <v>9.34</v>
      </c>
      <c r="P703">
        <v>1.8680000000000001</v>
      </c>
      <c r="Q703">
        <f>Sheet1__3_1_1_1[[#This Row],[Gross_Revenue]]-Sheet1__3_1_1_1[[#This Row],[Discount_Amount]]</f>
        <v>7.4719999999999995</v>
      </c>
      <c r="R703">
        <v>4.1100000000000003</v>
      </c>
      <c r="S703">
        <f>Sheet1__3_1_1_1[[#This Row],[Net_Revenue]]-Sheet1__3_1_1_1[[#This Row],[COGS]]</f>
        <v>3.3619999999999992</v>
      </c>
    </row>
    <row r="704" spans="1:19" x14ac:dyDescent="0.25">
      <c r="A704" t="s">
        <v>799</v>
      </c>
      <c r="B704" s="1">
        <v>45258</v>
      </c>
      <c r="C704" t="s">
        <v>29</v>
      </c>
      <c r="D704" t="s">
        <v>38</v>
      </c>
      <c r="E704" t="s">
        <v>39</v>
      </c>
      <c r="F704" t="s">
        <v>69</v>
      </c>
      <c r="G704" t="s">
        <v>70</v>
      </c>
      <c r="H704" t="s">
        <v>24</v>
      </c>
      <c r="I704" t="s">
        <v>25</v>
      </c>
      <c r="J704" t="s">
        <v>26</v>
      </c>
      <c r="K704" t="s">
        <v>143</v>
      </c>
      <c r="L704">
        <v>273.35000000000002</v>
      </c>
      <c r="M704">
        <v>20</v>
      </c>
      <c r="N704" s="2">
        <v>0</v>
      </c>
      <c r="O704">
        <v>5467</v>
      </c>
      <c r="P704">
        <v>0</v>
      </c>
      <c r="Q704">
        <f>Sheet1__3_1_1_1[[#This Row],[Gross_Revenue]]-Sheet1__3_1_1_1[[#This Row],[Discount_Amount]]</f>
        <v>5467</v>
      </c>
      <c r="R704">
        <v>2077.46</v>
      </c>
      <c r="S704">
        <f>Sheet1__3_1_1_1[[#This Row],[Net_Revenue]]-Sheet1__3_1_1_1[[#This Row],[COGS]]</f>
        <v>3389.54</v>
      </c>
    </row>
    <row r="705" spans="1:19" x14ac:dyDescent="0.25">
      <c r="A705" t="s">
        <v>800</v>
      </c>
      <c r="B705" s="1">
        <v>44839</v>
      </c>
      <c r="C705" t="s">
        <v>19</v>
      </c>
      <c r="D705" t="s">
        <v>20</v>
      </c>
      <c r="E705" t="s">
        <v>66</v>
      </c>
      <c r="F705" t="s">
        <v>22</v>
      </c>
      <c r="G705" t="s">
        <v>23</v>
      </c>
      <c r="H705" t="s">
        <v>41</v>
      </c>
      <c r="I705" t="s">
        <v>42</v>
      </c>
      <c r="J705" t="s">
        <v>35</v>
      </c>
      <c r="K705" t="s">
        <v>27</v>
      </c>
      <c r="L705">
        <v>14.84</v>
      </c>
      <c r="M705">
        <v>10</v>
      </c>
      <c r="N705" s="2">
        <v>0</v>
      </c>
      <c r="O705">
        <v>148.4</v>
      </c>
      <c r="P705">
        <v>0</v>
      </c>
      <c r="Q705">
        <f>Sheet1__3_1_1_1[[#This Row],[Gross_Revenue]]-Sheet1__3_1_1_1[[#This Row],[Discount_Amount]]</f>
        <v>148.4</v>
      </c>
      <c r="R705">
        <v>81.62</v>
      </c>
      <c r="S705">
        <f>Sheet1__3_1_1_1[[#This Row],[Net_Revenue]]-Sheet1__3_1_1_1[[#This Row],[COGS]]</f>
        <v>66.78</v>
      </c>
    </row>
    <row r="706" spans="1:19" x14ac:dyDescent="0.25">
      <c r="A706" t="s">
        <v>801</v>
      </c>
      <c r="B706" s="1">
        <v>45148</v>
      </c>
      <c r="C706" t="s">
        <v>99</v>
      </c>
      <c r="D706" t="s">
        <v>132</v>
      </c>
      <c r="E706" t="s">
        <v>63</v>
      </c>
      <c r="F706" t="s">
        <v>31</v>
      </c>
      <c r="G706" t="s">
        <v>93</v>
      </c>
      <c r="H706" t="s">
        <v>57</v>
      </c>
      <c r="I706" t="s">
        <v>48</v>
      </c>
      <c r="J706" t="s">
        <v>94</v>
      </c>
      <c r="K706" t="s">
        <v>27</v>
      </c>
      <c r="L706">
        <v>168.2</v>
      </c>
      <c r="M706">
        <v>5</v>
      </c>
      <c r="N706" s="2">
        <v>0</v>
      </c>
      <c r="O706">
        <v>841</v>
      </c>
      <c r="P706">
        <v>0</v>
      </c>
      <c r="Q706">
        <f>Sheet1__3_1_1_1[[#This Row],[Gross_Revenue]]-Sheet1__3_1_1_1[[#This Row],[Discount_Amount]]</f>
        <v>841</v>
      </c>
      <c r="R706">
        <v>403.68</v>
      </c>
      <c r="S706">
        <f>Sheet1__3_1_1_1[[#This Row],[Net_Revenue]]-Sheet1__3_1_1_1[[#This Row],[COGS]]</f>
        <v>437.32</v>
      </c>
    </row>
    <row r="707" spans="1:19" x14ac:dyDescent="0.25">
      <c r="A707" t="s">
        <v>802</v>
      </c>
      <c r="B707" s="1">
        <v>45059</v>
      </c>
      <c r="C707" t="s">
        <v>29</v>
      </c>
      <c r="D707" t="s">
        <v>38</v>
      </c>
      <c r="E707" t="s">
        <v>66</v>
      </c>
      <c r="F707" t="s">
        <v>31</v>
      </c>
      <c r="G707" t="s">
        <v>166</v>
      </c>
      <c r="H707" t="s">
        <v>59</v>
      </c>
      <c r="I707" t="s">
        <v>60</v>
      </c>
      <c r="J707" t="s">
        <v>94</v>
      </c>
      <c r="K707" t="s">
        <v>27</v>
      </c>
      <c r="L707">
        <v>349.96</v>
      </c>
      <c r="M707">
        <v>4</v>
      </c>
      <c r="N707" s="2">
        <v>0</v>
      </c>
      <c r="O707">
        <v>1399.84</v>
      </c>
      <c r="P707">
        <v>0</v>
      </c>
      <c r="Q707">
        <f>Sheet1__3_1_1_1[[#This Row],[Gross_Revenue]]-Sheet1__3_1_1_1[[#This Row],[Discount_Amount]]</f>
        <v>1399.84</v>
      </c>
      <c r="R707">
        <v>671.92</v>
      </c>
      <c r="S707">
        <f>Sheet1__3_1_1_1[[#This Row],[Net_Revenue]]-Sheet1__3_1_1_1[[#This Row],[COGS]]</f>
        <v>727.92</v>
      </c>
    </row>
    <row r="708" spans="1:19" x14ac:dyDescent="0.25">
      <c r="A708" t="s">
        <v>803</v>
      </c>
      <c r="B708" s="1">
        <v>44892</v>
      </c>
      <c r="C708" t="s">
        <v>77</v>
      </c>
      <c r="D708" t="s">
        <v>110</v>
      </c>
      <c r="E708" t="s">
        <v>66</v>
      </c>
      <c r="F708" t="s">
        <v>69</v>
      </c>
      <c r="G708" t="s">
        <v>101</v>
      </c>
      <c r="H708" t="s">
        <v>24</v>
      </c>
      <c r="I708" t="s">
        <v>48</v>
      </c>
      <c r="J708" t="s">
        <v>49</v>
      </c>
      <c r="K708" t="s">
        <v>36</v>
      </c>
      <c r="L708">
        <v>7.37</v>
      </c>
      <c r="M708">
        <v>2</v>
      </c>
      <c r="N708" s="2">
        <v>0</v>
      </c>
      <c r="O708">
        <v>14.74</v>
      </c>
      <c r="P708">
        <v>0</v>
      </c>
      <c r="Q708">
        <f>Sheet1__3_1_1_1[[#This Row],[Gross_Revenue]]-Sheet1__3_1_1_1[[#This Row],[Discount_Amount]]</f>
        <v>14.74</v>
      </c>
      <c r="R708">
        <v>5.6</v>
      </c>
      <c r="S708">
        <f>Sheet1__3_1_1_1[[#This Row],[Net_Revenue]]-Sheet1__3_1_1_1[[#This Row],[COGS]]</f>
        <v>9.14</v>
      </c>
    </row>
    <row r="709" spans="1:19" x14ac:dyDescent="0.25">
      <c r="A709" t="s">
        <v>804</v>
      </c>
      <c r="B709" s="1">
        <v>44929</v>
      </c>
      <c r="C709" t="s">
        <v>99</v>
      </c>
      <c r="D709" t="s">
        <v>132</v>
      </c>
      <c r="E709" t="s">
        <v>21</v>
      </c>
      <c r="F709" t="s">
        <v>31</v>
      </c>
      <c r="G709" t="s">
        <v>93</v>
      </c>
      <c r="H709" t="s">
        <v>111</v>
      </c>
      <c r="I709" t="s">
        <v>60</v>
      </c>
      <c r="J709" t="s">
        <v>94</v>
      </c>
      <c r="K709" t="s">
        <v>53</v>
      </c>
      <c r="L709">
        <v>169.46</v>
      </c>
      <c r="M709">
        <v>3</v>
      </c>
      <c r="N709" s="2">
        <v>0.15</v>
      </c>
      <c r="O709">
        <v>508.38</v>
      </c>
      <c r="P709">
        <v>76.256999999999991</v>
      </c>
      <c r="Q709">
        <f>Sheet1__3_1_1_1[[#This Row],[Gross_Revenue]]-Sheet1__3_1_1_1[[#This Row],[Discount_Amount]]</f>
        <v>432.12299999999999</v>
      </c>
      <c r="R709">
        <v>207.42</v>
      </c>
      <c r="S709">
        <f>Sheet1__3_1_1_1[[#This Row],[Net_Revenue]]-Sheet1__3_1_1_1[[#This Row],[COGS]]</f>
        <v>224.703</v>
      </c>
    </row>
    <row r="710" spans="1:19" x14ac:dyDescent="0.25">
      <c r="A710" t="s">
        <v>805</v>
      </c>
      <c r="B710" s="1">
        <v>44900</v>
      </c>
      <c r="C710" t="s">
        <v>19</v>
      </c>
      <c r="D710" t="s">
        <v>91</v>
      </c>
      <c r="E710" t="s">
        <v>63</v>
      </c>
      <c r="F710" t="s">
        <v>22</v>
      </c>
      <c r="G710" t="s">
        <v>23</v>
      </c>
      <c r="H710" t="s">
        <v>47</v>
      </c>
      <c r="I710" t="s">
        <v>25</v>
      </c>
      <c r="J710" t="s">
        <v>94</v>
      </c>
      <c r="K710" t="s">
        <v>36</v>
      </c>
      <c r="L710">
        <v>15.5</v>
      </c>
      <c r="M710">
        <v>26</v>
      </c>
      <c r="N710" s="2">
        <v>0.1</v>
      </c>
      <c r="O710">
        <v>403</v>
      </c>
      <c r="P710">
        <v>40.300000000000004</v>
      </c>
      <c r="Q710">
        <f>Sheet1__3_1_1_1[[#This Row],[Gross_Revenue]]-Sheet1__3_1_1_1[[#This Row],[Discount_Amount]]</f>
        <v>362.7</v>
      </c>
      <c r="R710">
        <v>199.49</v>
      </c>
      <c r="S710">
        <f>Sheet1__3_1_1_1[[#This Row],[Net_Revenue]]-Sheet1__3_1_1_1[[#This Row],[COGS]]</f>
        <v>163.20999999999998</v>
      </c>
    </row>
    <row r="711" spans="1:19" x14ac:dyDescent="0.25">
      <c r="A711" t="s">
        <v>806</v>
      </c>
      <c r="B711" s="1">
        <v>45275</v>
      </c>
      <c r="C711" t="s">
        <v>99</v>
      </c>
      <c r="D711" t="s">
        <v>148</v>
      </c>
      <c r="E711" t="s">
        <v>39</v>
      </c>
      <c r="F711" t="s">
        <v>79</v>
      </c>
      <c r="G711" t="s">
        <v>85</v>
      </c>
      <c r="H711" t="s">
        <v>24</v>
      </c>
      <c r="I711" t="s">
        <v>25</v>
      </c>
      <c r="J711" t="s">
        <v>94</v>
      </c>
      <c r="K711" t="s">
        <v>53</v>
      </c>
      <c r="L711">
        <v>741.58</v>
      </c>
      <c r="M711">
        <v>1</v>
      </c>
      <c r="N711" s="2">
        <v>0.15</v>
      </c>
      <c r="O711">
        <v>741.58</v>
      </c>
      <c r="P711">
        <v>111.23700000000001</v>
      </c>
      <c r="Q711">
        <f>Sheet1__3_1_1_1[[#This Row],[Gross_Revenue]]-Sheet1__3_1_1_1[[#This Row],[Discount_Amount]]</f>
        <v>630.34300000000007</v>
      </c>
      <c r="R711">
        <v>390.81</v>
      </c>
      <c r="S711">
        <f>Sheet1__3_1_1_1[[#This Row],[Net_Revenue]]-Sheet1__3_1_1_1[[#This Row],[COGS]]</f>
        <v>239.53300000000007</v>
      </c>
    </row>
    <row r="712" spans="1:19" x14ac:dyDescent="0.25">
      <c r="A712" t="s">
        <v>807</v>
      </c>
      <c r="B712" s="1">
        <v>45174</v>
      </c>
      <c r="C712" t="s">
        <v>77</v>
      </c>
      <c r="D712" t="s">
        <v>110</v>
      </c>
      <c r="E712" t="s">
        <v>39</v>
      </c>
      <c r="F712" t="s">
        <v>69</v>
      </c>
      <c r="G712" t="s">
        <v>126</v>
      </c>
      <c r="H712" t="s">
        <v>71</v>
      </c>
      <c r="I712" t="s">
        <v>42</v>
      </c>
      <c r="J712" t="s">
        <v>49</v>
      </c>
      <c r="K712" t="s">
        <v>27</v>
      </c>
      <c r="L712" t="s">
        <v>1147</v>
      </c>
      <c r="M712">
        <v>10</v>
      </c>
      <c r="N712" s="2">
        <v>0.2</v>
      </c>
      <c r="O712">
        <v>0</v>
      </c>
      <c r="P712">
        <v>0</v>
      </c>
      <c r="Q712">
        <f>Sheet1__3_1_1_1[[#This Row],[Gross_Revenue]]-Sheet1__3_1_1_1[[#This Row],[Discount_Amount]]</f>
        <v>0</v>
      </c>
      <c r="R712" t="s">
        <v>1147</v>
      </c>
      <c r="S712" t="e">
        <f>Sheet1__3_1_1_1[[#This Row],[Net_Revenue]]-Sheet1__3_1_1_1[[#This Row],[COGS]]</f>
        <v>#VALUE!</v>
      </c>
    </row>
    <row r="713" spans="1:19" x14ac:dyDescent="0.25">
      <c r="A713" t="s">
        <v>808</v>
      </c>
      <c r="B713" s="1">
        <v>44771</v>
      </c>
      <c r="C713" t="s">
        <v>99</v>
      </c>
      <c r="D713" t="s">
        <v>148</v>
      </c>
      <c r="E713" t="s">
        <v>66</v>
      </c>
      <c r="F713" t="s">
        <v>31</v>
      </c>
      <c r="G713" t="s">
        <v>122</v>
      </c>
      <c r="H713" t="s">
        <v>24</v>
      </c>
      <c r="I713" t="s">
        <v>25</v>
      </c>
      <c r="J713" t="s">
        <v>89</v>
      </c>
      <c r="K713" t="s">
        <v>143</v>
      </c>
      <c r="L713">
        <v>518.07000000000005</v>
      </c>
      <c r="M713">
        <v>4</v>
      </c>
      <c r="N713" s="2">
        <v>0</v>
      </c>
      <c r="O713">
        <v>2072.2800000000002</v>
      </c>
      <c r="P713">
        <v>0</v>
      </c>
      <c r="Q713">
        <f>Sheet1__3_1_1_1[[#This Row],[Gross_Revenue]]-Sheet1__3_1_1_1[[#This Row],[Discount_Amount]]</f>
        <v>2072.2800000000002</v>
      </c>
      <c r="R713">
        <v>994.69</v>
      </c>
      <c r="S713">
        <f>Sheet1__3_1_1_1[[#This Row],[Net_Revenue]]-Sheet1__3_1_1_1[[#This Row],[COGS]]</f>
        <v>1077.5900000000001</v>
      </c>
    </row>
    <row r="714" spans="1:19" x14ac:dyDescent="0.25">
      <c r="A714" t="s">
        <v>809</v>
      </c>
      <c r="B714" s="1">
        <v>45088</v>
      </c>
      <c r="C714" t="s">
        <v>99</v>
      </c>
      <c r="D714" t="s">
        <v>148</v>
      </c>
      <c r="E714" t="s">
        <v>39</v>
      </c>
      <c r="F714" t="s">
        <v>31</v>
      </c>
      <c r="G714" t="s">
        <v>32</v>
      </c>
      <c r="H714" t="s">
        <v>33</v>
      </c>
      <c r="I714" t="s">
        <v>48</v>
      </c>
      <c r="J714" t="s">
        <v>35</v>
      </c>
      <c r="K714" t="s">
        <v>143</v>
      </c>
      <c r="L714">
        <v>465.75</v>
      </c>
      <c r="M714">
        <v>1</v>
      </c>
      <c r="N714" s="2">
        <v>0</v>
      </c>
      <c r="O714">
        <v>465.75</v>
      </c>
      <c r="P714">
        <v>0</v>
      </c>
      <c r="Q714">
        <f>Sheet1__3_1_1_1[[#This Row],[Gross_Revenue]]-Sheet1__3_1_1_1[[#This Row],[Discount_Amount]]</f>
        <v>465.75</v>
      </c>
      <c r="R714">
        <v>223.56</v>
      </c>
      <c r="S714">
        <f>Sheet1__3_1_1_1[[#This Row],[Net_Revenue]]-Sheet1__3_1_1_1[[#This Row],[COGS]]</f>
        <v>242.19</v>
      </c>
    </row>
    <row r="715" spans="1:19" x14ac:dyDescent="0.25">
      <c r="A715" t="s">
        <v>810</v>
      </c>
      <c r="B715" s="1">
        <v>44943</v>
      </c>
      <c r="C715" t="s">
        <v>77</v>
      </c>
      <c r="D715" t="s">
        <v>110</v>
      </c>
      <c r="E715" t="s">
        <v>39</v>
      </c>
      <c r="F715" t="s">
        <v>79</v>
      </c>
      <c r="G715" t="s">
        <v>172</v>
      </c>
      <c r="H715" t="s">
        <v>24</v>
      </c>
      <c r="I715" t="s">
        <v>48</v>
      </c>
      <c r="J715" t="s">
        <v>35</v>
      </c>
      <c r="K715" t="s">
        <v>143</v>
      </c>
      <c r="L715">
        <v>307.98</v>
      </c>
      <c r="M715">
        <v>1</v>
      </c>
      <c r="N715" s="2">
        <v>0.05</v>
      </c>
      <c r="O715">
        <v>307.98</v>
      </c>
      <c r="P715">
        <v>15.399000000000001</v>
      </c>
      <c r="Q715">
        <f>Sheet1__3_1_1_1[[#This Row],[Gross_Revenue]]-Sheet1__3_1_1_1[[#This Row],[Discount_Amount]]</f>
        <v>292.58100000000002</v>
      </c>
      <c r="R715">
        <v>181.4</v>
      </c>
      <c r="S715">
        <f>Sheet1__3_1_1_1[[#This Row],[Net_Revenue]]-Sheet1__3_1_1_1[[#This Row],[COGS]]</f>
        <v>111.18100000000001</v>
      </c>
    </row>
    <row r="716" spans="1:19" x14ac:dyDescent="0.25">
      <c r="A716" t="s">
        <v>811</v>
      </c>
      <c r="B716" s="1">
        <v>45179</v>
      </c>
      <c r="C716" t="s">
        <v>99</v>
      </c>
      <c r="D716" t="s">
        <v>100</v>
      </c>
      <c r="E716" t="s">
        <v>66</v>
      </c>
      <c r="F716" t="s">
        <v>31</v>
      </c>
      <c r="G716" t="s">
        <v>93</v>
      </c>
      <c r="H716" t="s">
        <v>108</v>
      </c>
      <c r="I716" t="s">
        <v>60</v>
      </c>
      <c r="J716" t="s">
        <v>49</v>
      </c>
      <c r="K716" t="s">
        <v>36</v>
      </c>
      <c r="L716">
        <v>160.16</v>
      </c>
      <c r="M716">
        <v>2</v>
      </c>
      <c r="N716" s="2">
        <v>0.05</v>
      </c>
      <c r="O716">
        <v>320.32</v>
      </c>
      <c r="P716">
        <v>16.016000000000002</v>
      </c>
      <c r="Q716">
        <f>Sheet1__3_1_1_1[[#This Row],[Gross_Revenue]]-Sheet1__3_1_1_1[[#This Row],[Discount_Amount]]</f>
        <v>304.30399999999997</v>
      </c>
      <c r="R716">
        <v>146.06</v>
      </c>
      <c r="S716">
        <f>Sheet1__3_1_1_1[[#This Row],[Net_Revenue]]-Sheet1__3_1_1_1[[#This Row],[COGS]]</f>
        <v>158.24399999999997</v>
      </c>
    </row>
    <row r="717" spans="1:19" x14ac:dyDescent="0.25">
      <c r="A717" t="s">
        <v>812</v>
      </c>
      <c r="B717" s="1">
        <v>44951</v>
      </c>
      <c r="C717" t="s">
        <v>99</v>
      </c>
      <c r="D717" t="s">
        <v>100</v>
      </c>
      <c r="E717" t="s">
        <v>39</v>
      </c>
      <c r="F717" t="s">
        <v>31</v>
      </c>
      <c r="G717" t="s">
        <v>40</v>
      </c>
      <c r="H717" t="s">
        <v>33</v>
      </c>
      <c r="I717" t="s">
        <v>34</v>
      </c>
      <c r="J717" t="s">
        <v>35</v>
      </c>
      <c r="K717" t="s">
        <v>36</v>
      </c>
      <c r="L717">
        <v>214.6</v>
      </c>
      <c r="M717">
        <v>3</v>
      </c>
      <c r="N717" s="2">
        <v>0.05</v>
      </c>
      <c r="O717">
        <v>643.79999999999995</v>
      </c>
      <c r="P717">
        <v>32.19</v>
      </c>
      <c r="Q717">
        <f>Sheet1__3_1_1_1[[#This Row],[Gross_Revenue]]-Sheet1__3_1_1_1[[#This Row],[Discount_Amount]]</f>
        <v>611.6099999999999</v>
      </c>
      <c r="R717">
        <v>293.57</v>
      </c>
      <c r="S717">
        <f>Sheet1__3_1_1_1[[#This Row],[Net_Revenue]]-Sheet1__3_1_1_1[[#This Row],[COGS]]</f>
        <v>318.03999999999991</v>
      </c>
    </row>
    <row r="718" spans="1:19" x14ac:dyDescent="0.25">
      <c r="A718" t="s">
        <v>813</v>
      </c>
      <c r="B718" s="1">
        <v>44617</v>
      </c>
      <c r="C718" t="s">
        <v>44</v>
      </c>
      <c r="D718" t="s">
        <v>65</v>
      </c>
      <c r="E718" t="s">
        <v>66</v>
      </c>
      <c r="F718" t="s">
        <v>55</v>
      </c>
      <c r="G718" t="s">
        <v>103</v>
      </c>
      <c r="H718" t="s">
        <v>24</v>
      </c>
      <c r="I718" t="s">
        <v>48</v>
      </c>
      <c r="J718" t="s">
        <v>49</v>
      </c>
      <c r="K718" t="s">
        <v>36</v>
      </c>
      <c r="L718" t="s">
        <v>1147</v>
      </c>
      <c r="M718">
        <v>6</v>
      </c>
      <c r="N718" s="2">
        <v>0.05</v>
      </c>
      <c r="O718">
        <v>0</v>
      </c>
      <c r="P718">
        <v>0</v>
      </c>
      <c r="Q718">
        <f>Sheet1__3_1_1_1[[#This Row],[Gross_Revenue]]-Sheet1__3_1_1_1[[#This Row],[Discount_Amount]]</f>
        <v>0</v>
      </c>
      <c r="R718" t="s">
        <v>1147</v>
      </c>
      <c r="S718" t="e">
        <f>Sheet1__3_1_1_1[[#This Row],[Net_Revenue]]-Sheet1__3_1_1_1[[#This Row],[COGS]]</f>
        <v>#VALUE!</v>
      </c>
    </row>
    <row r="719" spans="1:19" x14ac:dyDescent="0.25">
      <c r="A719" t="s">
        <v>814</v>
      </c>
      <c r="B719" s="1">
        <v>44689</v>
      </c>
      <c r="C719" t="s">
        <v>77</v>
      </c>
      <c r="D719" t="s">
        <v>110</v>
      </c>
      <c r="E719" t="s">
        <v>39</v>
      </c>
      <c r="F719" t="s">
        <v>55</v>
      </c>
      <c r="G719" t="s">
        <v>83</v>
      </c>
      <c r="H719" t="s">
        <v>24</v>
      </c>
      <c r="I719" t="s">
        <v>60</v>
      </c>
      <c r="J719" t="s">
        <v>26</v>
      </c>
      <c r="K719" t="s">
        <v>53</v>
      </c>
      <c r="L719">
        <v>67.31</v>
      </c>
      <c r="M719">
        <v>5</v>
      </c>
      <c r="N719" s="2">
        <v>0.1</v>
      </c>
      <c r="O719">
        <v>336.55</v>
      </c>
      <c r="P719">
        <v>33.655000000000001</v>
      </c>
      <c r="Q719">
        <f>Sheet1__3_1_1_1[[#This Row],[Gross_Revenue]]-Sheet1__3_1_1_1[[#This Row],[Discount_Amount]]</f>
        <v>302.89499999999998</v>
      </c>
      <c r="R719">
        <v>127.21</v>
      </c>
      <c r="S719">
        <f>Sheet1__3_1_1_1[[#This Row],[Net_Revenue]]-Sheet1__3_1_1_1[[#This Row],[COGS]]</f>
        <v>175.685</v>
      </c>
    </row>
    <row r="720" spans="1:19" x14ac:dyDescent="0.25">
      <c r="A720" t="s">
        <v>815</v>
      </c>
      <c r="B720" s="1">
        <v>44798</v>
      </c>
      <c r="C720" t="s">
        <v>44</v>
      </c>
      <c r="D720" t="s">
        <v>45</v>
      </c>
      <c r="E720" t="s">
        <v>66</v>
      </c>
      <c r="F720" t="s">
        <v>31</v>
      </c>
      <c r="G720" t="s">
        <v>32</v>
      </c>
      <c r="H720" t="s">
        <v>47</v>
      </c>
      <c r="I720" t="s">
        <v>60</v>
      </c>
      <c r="J720" t="s">
        <v>89</v>
      </c>
      <c r="K720" t="s">
        <v>143</v>
      </c>
      <c r="L720">
        <v>407.88</v>
      </c>
      <c r="M720">
        <v>7</v>
      </c>
      <c r="N720" s="2">
        <v>0.15</v>
      </c>
      <c r="O720">
        <v>2855.16</v>
      </c>
      <c r="P720">
        <v>428.27399999999994</v>
      </c>
      <c r="Q720">
        <f>Sheet1__3_1_1_1[[#This Row],[Gross_Revenue]]-Sheet1__3_1_1_1[[#This Row],[Discount_Amount]]</f>
        <v>2426.886</v>
      </c>
      <c r="R720">
        <v>1164.9100000000001</v>
      </c>
      <c r="S720">
        <f>Sheet1__3_1_1_1[[#This Row],[Net_Revenue]]-Sheet1__3_1_1_1[[#This Row],[COGS]]</f>
        <v>1261.9759999999999</v>
      </c>
    </row>
    <row r="721" spans="1:19" x14ac:dyDescent="0.25">
      <c r="A721" t="s">
        <v>816</v>
      </c>
      <c r="B721" s="1">
        <v>45183</v>
      </c>
      <c r="C721" t="s">
        <v>77</v>
      </c>
      <c r="D721" t="s">
        <v>78</v>
      </c>
      <c r="E721" t="s">
        <v>63</v>
      </c>
      <c r="F721" t="s">
        <v>31</v>
      </c>
      <c r="G721" t="s">
        <v>122</v>
      </c>
      <c r="H721" t="s">
        <v>57</v>
      </c>
      <c r="I721" t="s">
        <v>42</v>
      </c>
      <c r="J721" t="s">
        <v>49</v>
      </c>
      <c r="K721" t="s">
        <v>36</v>
      </c>
      <c r="L721">
        <v>538.69000000000005</v>
      </c>
      <c r="M721">
        <v>8</v>
      </c>
      <c r="N721" s="2">
        <v>0</v>
      </c>
      <c r="O721">
        <v>4309.5200000000004</v>
      </c>
      <c r="P721">
        <v>0</v>
      </c>
      <c r="Q721">
        <f>Sheet1__3_1_1_1[[#This Row],[Gross_Revenue]]-Sheet1__3_1_1_1[[#This Row],[Discount_Amount]]</f>
        <v>4309.5200000000004</v>
      </c>
      <c r="R721">
        <v>2068.5700000000002</v>
      </c>
      <c r="S721">
        <f>Sheet1__3_1_1_1[[#This Row],[Net_Revenue]]-Sheet1__3_1_1_1[[#This Row],[COGS]]</f>
        <v>2240.9500000000003</v>
      </c>
    </row>
    <row r="722" spans="1:19" x14ac:dyDescent="0.25">
      <c r="A722" t="s">
        <v>817</v>
      </c>
      <c r="B722" s="1">
        <v>44766</v>
      </c>
      <c r="C722" t="s">
        <v>99</v>
      </c>
      <c r="D722" t="s">
        <v>148</v>
      </c>
      <c r="E722" t="s">
        <v>66</v>
      </c>
      <c r="F722" t="s">
        <v>22</v>
      </c>
      <c r="G722" t="s">
        <v>23</v>
      </c>
      <c r="H722" t="s">
        <v>52</v>
      </c>
      <c r="I722" t="s">
        <v>25</v>
      </c>
      <c r="J722" t="s">
        <v>89</v>
      </c>
      <c r="K722" t="s">
        <v>53</v>
      </c>
      <c r="L722">
        <v>18.41</v>
      </c>
      <c r="M722">
        <v>1</v>
      </c>
      <c r="N722" s="2">
        <v>0.15</v>
      </c>
      <c r="O722">
        <v>18.41</v>
      </c>
      <c r="P722">
        <v>2.7614999999999998</v>
      </c>
      <c r="Q722">
        <f>Sheet1__3_1_1_1[[#This Row],[Gross_Revenue]]-Sheet1__3_1_1_1[[#This Row],[Discount_Amount]]</f>
        <v>15.6485</v>
      </c>
      <c r="R722">
        <v>8.61</v>
      </c>
      <c r="S722">
        <f>Sheet1__3_1_1_1[[#This Row],[Net_Revenue]]-Sheet1__3_1_1_1[[#This Row],[COGS]]</f>
        <v>7.0385000000000009</v>
      </c>
    </row>
    <row r="723" spans="1:19" x14ac:dyDescent="0.25">
      <c r="A723" t="s">
        <v>818</v>
      </c>
      <c r="B723" s="1">
        <v>45219</v>
      </c>
      <c r="C723" t="s">
        <v>29</v>
      </c>
      <c r="D723" t="s">
        <v>62</v>
      </c>
      <c r="E723" t="s">
        <v>66</v>
      </c>
      <c r="F723" t="s">
        <v>79</v>
      </c>
      <c r="G723" t="s">
        <v>85</v>
      </c>
      <c r="H723" t="s">
        <v>52</v>
      </c>
      <c r="I723" t="s">
        <v>34</v>
      </c>
      <c r="J723" t="s">
        <v>49</v>
      </c>
      <c r="K723" t="s">
        <v>53</v>
      </c>
      <c r="L723">
        <v>1008.97</v>
      </c>
      <c r="N723" s="2">
        <v>0</v>
      </c>
      <c r="O723">
        <v>0</v>
      </c>
      <c r="P723">
        <v>0</v>
      </c>
      <c r="Q723">
        <f>Sheet1__3_1_1_1[[#This Row],[Gross_Revenue]]-Sheet1__3_1_1_1[[#This Row],[Discount_Amount]]</f>
        <v>0</v>
      </c>
      <c r="R723" t="s">
        <v>1147</v>
      </c>
      <c r="S723" t="e">
        <f>Sheet1__3_1_1_1[[#This Row],[Net_Revenue]]-Sheet1__3_1_1_1[[#This Row],[COGS]]</f>
        <v>#VALUE!</v>
      </c>
    </row>
    <row r="724" spans="1:19" x14ac:dyDescent="0.25">
      <c r="A724" t="s">
        <v>819</v>
      </c>
      <c r="B724" s="1">
        <v>44897</v>
      </c>
      <c r="C724" t="s">
        <v>77</v>
      </c>
      <c r="D724" t="s">
        <v>82</v>
      </c>
      <c r="E724" t="s">
        <v>63</v>
      </c>
      <c r="F724" t="s">
        <v>55</v>
      </c>
      <c r="G724" t="s">
        <v>56</v>
      </c>
      <c r="H724" t="s">
        <v>106</v>
      </c>
      <c r="I724" t="s">
        <v>48</v>
      </c>
      <c r="J724" t="s">
        <v>89</v>
      </c>
      <c r="K724" t="s">
        <v>36</v>
      </c>
      <c r="L724" t="s">
        <v>1147</v>
      </c>
      <c r="M724">
        <v>4</v>
      </c>
      <c r="N724" s="2">
        <v>0.2</v>
      </c>
      <c r="O724">
        <v>0</v>
      </c>
      <c r="P724">
        <v>0</v>
      </c>
      <c r="Q724">
        <f>Sheet1__3_1_1_1[[#This Row],[Gross_Revenue]]-Sheet1__3_1_1_1[[#This Row],[Discount_Amount]]</f>
        <v>0</v>
      </c>
      <c r="R724" t="s">
        <v>1147</v>
      </c>
      <c r="S724" t="e">
        <f>Sheet1__3_1_1_1[[#This Row],[Net_Revenue]]-Sheet1__3_1_1_1[[#This Row],[COGS]]</f>
        <v>#VALUE!</v>
      </c>
    </row>
    <row r="725" spans="1:19" x14ac:dyDescent="0.25">
      <c r="A725" t="s">
        <v>820</v>
      </c>
      <c r="B725" s="1">
        <v>44662</v>
      </c>
      <c r="C725" t="s">
        <v>19</v>
      </c>
      <c r="D725" t="s">
        <v>130</v>
      </c>
      <c r="E725" t="s">
        <v>21</v>
      </c>
      <c r="F725" t="s">
        <v>22</v>
      </c>
      <c r="G725" t="s">
        <v>46</v>
      </c>
      <c r="H725" t="s">
        <v>57</v>
      </c>
      <c r="I725" t="s">
        <v>48</v>
      </c>
      <c r="J725" t="s">
        <v>94</v>
      </c>
      <c r="K725" t="s">
        <v>143</v>
      </c>
      <c r="L725">
        <v>21.09</v>
      </c>
      <c r="M725">
        <v>5</v>
      </c>
      <c r="N725" s="2">
        <v>0.15</v>
      </c>
      <c r="O725">
        <v>105.45</v>
      </c>
      <c r="P725">
        <v>15.817499999999999</v>
      </c>
      <c r="Q725">
        <f>Sheet1__3_1_1_1[[#This Row],[Gross_Revenue]]-Sheet1__3_1_1_1[[#This Row],[Discount_Amount]]</f>
        <v>89.632500000000007</v>
      </c>
      <c r="R725">
        <v>49.3</v>
      </c>
      <c r="S725">
        <f>Sheet1__3_1_1_1[[#This Row],[Net_Revenue]]-Sheet1__3_1_1_1[[#This Row],[COGS]]</f>
        <v>40.33250000000001</v>
      </c>
    </row>
    <row r="726" spans="1:19" x14ac:dyDescent="0.25">
      <c r="A726" t="s">
        <v>821</v>
      </c>
      <c r="B726" s="1">
        <v>44860</v>
      </c>
      <c r="C726" t="s">
        <v>77</v>
      </c>
      <c r="D726" t="s">
        <v>82</v>
      </c>
      <c r="E726" t="s">
        <v>63</v>
      </c>
      <c r="F726" t="s">
        <v>22</v>
      </c>
      <c r="G726" t="s">
        <v>46</v>
      </c>
      <c r="H726" t="s">
        <v>59</v>
      </c>
      <c r="I726" t="s">
        <v>48</v>
      </c>
      <c r="J726" t="s">
        <v>94</v>
      </c>
      <c r="K726" t="s">
        <v>36</v>
      </c>
      <c r="L726">
        <v>19.07</v>
      </c>
      <c r="M726">
        <v>12</v>
      </c>
      <c r="N726" s="2">
        <v>0</v>
      </c>
      <c r="O726">
        <v>228.84</v>
      </c>
      <c r="P726">
        <v>0</v>
      </c>
      <c r="Q726">
        <f>Sheet1__3_1_1_1[[#This Row],[Gross_Revenue]]-Sheet1__3_1_1_1[[#This Row],[Discount_Amount]]</f>
        <v>228.84</v>
      </c>
      <c r="R726">
        <v>125.86</v>
      </c>
      <c r="S726">
        <f>Sheet1__3_1_1_1[[#This Row],[Net_Revenue]]-Sheet1__3_1_1_1[[#This Row],[COGS]]</f>
        <v>102.98</v>
      </c>
    </row>
    <row r="727" spans="1:19" x14ac:dyDescent="0.25">
      <c r="A727" t="s">
        <v>822</v>
      </c>
      <c r="B727" s="1">
        <v>44794</v>
      </c>
      <c r="C727" t="s">
        <v>77</v>
      </c>
      <c r="D727" t="s">
        <v>110</v>
      </c>
      <c r="E727" t="s">
        <v>63</v>
      </c>
      <c r="F727" t="s">
        <v>55</v>
      </c>
      <c r="G727" t="s">
        <v>103</v>
      </c>
      <c r="H727" t="s">
        <v>41</v>
      </c>
      <c r="I727" t="s">
        <v>42</v>
      </c>
      <c r="J727" t="s">
        <v>35</v>
      </c>
      <c r="K727" t="s">
        <v>36</v>
      </c>
      <c r="L727">
        <v>164.99</v>
      </c>
      <c r="M727">
        <v>1</v>
      </c>
      <c r="N727" s="2">
        <v>0.1</v>
      </c>
      <c r="O727">
        <v>164.99</v>
      </c>
      <c r="P727">
        <v>16.499000000000002</v>
      </c>
      <c r="Q727">
        <f>Sheet1__3_1_1_1[[#This Row],[Gross_Revenue]]-Sheet1__3_1_1_1[[#This Row],[Discount_Amount]]</f>
        <v>148.49100000000001</v>
      </c>
      <c r="R727">
        <v>62.37</v>
      </c>
      <c r="S727">
        <f>Sheet1__3_1_1_1[[#This Row],[Net_Revenue]]-Sheet1__3_1_1_1[[#This Row],[COGS]]</f>
        <v>86.121000000000009</v>
      </c>
    </row>
    <row r="728" spans="1:19" x14ac:dyDescent="0.25">
      <c r="A728" t="s">
        <v>823</v>
      </c>
      <c r="B728" s="1">
        <v>45157</v>
      </c>
      <c r="C728" t="s">
        <v>44</v>
      </c>
      <c r="D728" t="s">
        <v>51</v>
      </c>
      <c r="E728" t="s">
        <v>66</v>
      </c>
      <c r="F728" t="s">
        <v>22</v>
      </c>
      <c r="G728" t="s">
        <v>75</v>
      </c>
      <c r="H728" t="s">
        <v>59</v>
      </c>
      <c r="I728" t="s">
        <v>42</v>
      </c>
      <c r="J728" t="s">
        <v>26</v>
      </c>
      <c r="K728" t="s">
        <v>36</v>
      </c>
      <c r="L728">
        <v>11.36</v>
      </c>
      <c r="M728">
        <v>17</v>
      </c>
      <c r="N728" s="2">
        <v>0.15</v>
      </c>
      <c r="O728">
        <v>193.12</v>
      </c>
      <c r="P728">
        <v>28.968</v>
      </c>
      <c r="Q728">
        <f>Sheet1__3_1_1_1[[#This Row],[Gross_Revenue]]-Sheet1__3_1_1_1[[#This Row],[Discount_Amount]]</f>
        <v>164.15200000000002</v>
      </c>
      <c r="R728">
        <v>90.28</v>
      </c>
      <c r="S728">
        <f>Sheet1__3_1_1_1[[#This Row],[Net_Revenue]]-Sheet1__3_1_1_1[[#This Row],[COGS]]</f>
        <v>73.872000000000014</v>
      </c>
    </row>
    <row r="729" spans="1:19" x14ac:dyDescent="0.25">
      <c r="A729" t="s">
        <v>824</v>
      </c>
      <c r="B729" s="1">
        <v>45267</v>
      </c>
      <c r="C729" t="s">
        <v>99</v>
      </c>
      <c r="D729" t="s">
        <v>148</v>
      </c>
      <c r="E729" t="s">
        <v>21</v>
      </c>
      <c r="F729" t="s">
        <v>22</v>
      </c>
      <c r="G729" t="s">
        <v>149</v>
      </c>
      <c r="H729" t="s">
        <v>33</v>
      </c>
      <c r="I729" t="s">
        <v>25</v>
      </c>
      <c r="J729" t="s">
        <v>35</v>
      </c>
      <c r="K729" t="s">
        <v>143</v>
      </c>
      <c r="L729" t="s">
        <v>1147</v>
      </c>
      <c r="M729">
        <v>14</v>
      </c>
      <c r="N729" s="2">
        <v>0</v>
      </c>
      <c r="O729">
        <v>0</v>
      </c>
      <c r="P729">
        <v>0</v>
      </c>
      <c r="Q729">
        <f>Sheet1__3_1_1_1[[#This Row],[Gross_Revenue]]-Sheet1__3_1_1_1[[#This Row],[Discount_Amount]]</f>
        <v>0</v>
      </c>
      <c r="R729" t="s">
        <v>1147</v>
      </c>
      <c r="S729" t="e">
        <f>Sheet1__3_1_1_1[[#This Row],[Net_Revenue]]-Sheet1__3_1_1_1[[#This Row],[COGS]]</f>
        <v>#VALUE!</v>
      </c>
    </row>
    <row r="730" spans="1:19" x14ac:dyDescent="0.25">
      <c r="A730" t="s">
        <v>825</v>
      </c>
      <c r="B730" s="1">
        <v>44854</v>
      </c>
      <c r="C730" t="s">
        <v>77</v>
      </c>
      <c r="D730" t="s">
        <v>110</v>
      </c>
      <c r="E730" t="s">
        <v>63</v>
      </c>
      <c r="F730" t="s">
        <v>22</v>
      </c>
      <c r="G730" t="s">
        <v>113</v>
      </c>
      <c r="H730" t="s">
        <v>57</v>
      </c>
      <c r="I730" t="s">
        <v>60</v>
      </c>
      <c r="J730" t="s">
        <v>26</v>
      </c>
      <c r="K730" t="s">
        <v>36</v>
      </c>
      <c r="L730">
        <v>12.98</v>
      </c>
      <c r="M730">
        <v>18</v>
      </c>
      <c r="N730" s="2">
        <v>0</v>
      </c>
      <c r="O730">
        <v>233.64000000000001</v>
      </c>
      <c r="P730">
        <v>0</v>
      </c>
      <c r="Q730">
        <f>Sheet1__3_1_1_1[[#This Row],[Gross_Revenue]]-Sheet1__3_1_1_1[[#This Row],[Discount_Amount]]</f>
        <v>233.64000000000001</v>
      </c>
      <c r="R730">
        <v>128.5</v>
      </c>
      <c r="S730">
        <f>Sheet1__3_1_1_1[[#This Row],[Net_Revenue]]-Sheet1__3_1_1_1[[#This Row],[COGS]]</f>
        <v>105.14000000000001</v>
      </c>
    </row>
    <row r="731" spans="1:19" x14ac:dyDescent="0.25">
      <c r="A731" t="s">
        <v>826</v>
      </c>
      <c r="B731" s="1">
        <v>45280</v>
      </c>
      <c r="C731" t="s">
        <v>29</v>
      </c>
      <c r="D731" t="s">
        <v>62</v>
      </c>
      <c r="E731" t="s">
        <v>66</v>
      </c>
      <c r="F731" t="s">
        <v>55</v>
      </c>
      <c r="G731" t="s">
        <v>103</v>
      </c>
      <c r="H731" t="s">
        <v>111</v>
      </c>
      <c r="I731" t="s">
        <v>42</v>
      </c>
      <c r="J731" t="s">
        <v>26</v>
      </c>
      <c r="K731" t="s">
        <v>36</v>
      </c>
      <c r="L731" t="s">
        <v>1147</v>
      </c>
      <c r="M731">
        <v>3</v>
      </c>
      <c r="N731" s="2">
        <v>0.1</v>
      </c>
      <c r="O731">
        <v>0</v>
      </c>
      <c r="P731">
        <v>0</v>
      </c>
      <c r="Q731">
        <f>Sheet1__3_1_1_1[[#This Row],[Gross_Revenue]]-Sheet1__3_1_1_1[[#This Row],[Discount_Amount]]</f>
        <v>0</v>
      </c>
      <c r="R731" t="s">
        <v>1147</v>
      </c>
      <c r="S731" t="e">
        <f>Sheet1__3_1_1_1[[#This Row],[Net_Revenue]]-Sheet1__3_1_1_1[[#This Row],[COGS]]</f>
        <v>#VALUE!</v>
      </c>
    </row>
    <row r="732" spans="1:19" x14ac:dyDescent="0.25">
      <c r="A732" t="s">
        <v>827</v>
      </c>
      <c r="B732" s="1">
        <v>44586</v>
      </c>
      <c r="C732" t="s">
        <v>77</v>
      </c>
      <c r="D732" t="s">
        <v>78</v>
      </c>
      <c r="E732" t="s">
        <v>21</v>
      </c>
      <c r="F732" t="s">
        <v>69</v>
      </c>
      <c r="G732" t="s">
        <v>73</v>
      </c>
      <c r="H732" t="s">
        <v>108</v>
      </c>
      <c r="I732" t="s">
        <v>42</v>
      </c>
      <c r="J732" t="s">
        <v>89</v>
      </c>
      <c r="K732" t="s">
        <v>36</v>
      </c>
      <c r="L732">
        <v>11.97</v>
      </c>
      <c r="M732">
        <v>26</v>
      </c>
      <c r="N732" s="2">
        <v>0.1</v>
      </c>
      <c r="O732">
        <v>311.22000000000003</v>
      </c>
      <c r="P732">
        <v>31.122000000000003</v>
      </c>
      <c r="Q732">
        <f>Sheet1__3_1_1_1[[#This Row],[Gross_Revenue]]-Sheet1__3_1_1_1[[#This Row],[Discount_Amount]]</f>
        <v>280.09800000000001</v>
      </c>
      <c r="R732">
        <v>106.44</v>
      </c>
      <c r="S732">
        <f>Sheet1__3_1_1_1[[#This Row],[Net_Revenue]]-Sheet1__3_1_1_1[[#This Row],[COGS]]</f>
        <v>173.65800000000002</v>
      </c>
    </row>
    <row r="733" spans="1:19" x14ac:dyDescent="0.25">
      <c r="A733" t="s">
        <v>828</v>
      </c>
      <c r="B733" s="1">
        <v>45000</v>
      </c>
      <c r="C733" t="s">
        <v>19</v>
      </c>
      <c r="D733" t="s">
        <v>130</v>
      </c>
      <c r="E733" t="s">
        <v>66</v>
      </c>
      <c r="F733" t="s">
        <v>31</v>
      </c>
      <c r="G733" t="s">
        <v>32</v>
      </c>
      <c r="H733" t="s">
        <v>41</v>
      </c>
      <c r="I733" t="s">
        <v>25</v>
      </c>
      <c r="J733" t="s">
        <v>94</v>
      </c>
      <c r="K733" t="s">
        <v>53</v>
      </c>
      <c r="L733">
        <v>469.77</v>
      </c>
      <c r="M733">
        <v>7</v>
      </c>
      <c r="N733" s="2">
        <v>0</v>
      </c>
      <c r="O733">
        <v>3288.39</v>
      </c>
      <c r="P733">
        <v>0</v>
      </c>
      <c r="Q733">
        <f>Sheet1__3_1_1_1[[#This Row],[Gross_Revenue]]-Sheet1__3_1_1_1[[#This Row],[Discount_Amount]]</f>
        <v>3288.39</v>
      </c>
      <c r="R733">
        <v>1578.43</v>
      </c>
      <c r="S733">
        <f>Sheet1__3_1_1_1[[#This Row],[Net_Revenue]]-Sheet1__3_1_1_1[[#This Row],[COGS]]</f>
        <v>1709.9599999999998</v>
      </c>
    </row>
    <row r="734" spans="1:19" x14ac:dyDescent="0.25">
      <c r="A734" t="s">
        <v>829</v>
      </c>
      <c r="B734" s="1">
        <v>45149</v>
      </c>
      <c r="C734" t="s">
        <v>99</v>
      </c>
      <c r="D734" t="s">
        <v>100</v>
      </c>
      <c r="E734" t="s">
        <v>66</v>
      </c>
      <c r="F734" t="s">
        <v>55</v>
      </c>
      <c r="G734" t="s">
        <v>120</v>
      </c>
      <c r="H734" t="s">
        <v>87</v>
      </c>
      <c r="I734" t="s">
        <v>34</v>
      </c>
      <c r="J734" t="s">
        <v>94</v>
      </c>
      <c r="K734" t="s">
        <v>36</v>
      </c>
      <c r="L734" t="s">
        <v>1147</v>
      </c>
      <c r="M734">
        <v>2</v>
      </c>
      <c r="N734" s="2">
        <v>0</v>
      </c>
      <c r="O734">
        <v>0</v>
      </c>
      <c r="P734">
        <v>0</v>
      </c>
      <c r="Q734">
        <f>Sheet1__3_1_1_1[[#This Row],[Gross_Revenue]]-Sheet1__3_1_1_1[[#This Row],[Discount_Amount]]</f>
        <v>0</v>
      </c>
      <c r="R734" t="s">
        <v>1147</v>
      </c>
      <c r="S734" t="e">
        <f>Sheet1__3_1_1_1[[#This Row],[Net_Revenue]]-Sheet1__3_1_1_1[[#This Row],[COGS]]</f>
        <v>#VALUE!</v>
      </c>
    </row>
    <row r="735" spans="1:19" x14ac:dyDescent="0.25">
      <c r="A735" t="s">
        <v>830</v>
      </c>
      <c r="B735" s="1">
        <v>45167</v>
      </c>
      <c r="C735" t="s">
        <v>29</v>
      </c>
      <c r="D735" t="s">
        <v>38</v>
      </c>
      <c r="E735" t="s">
        <v>66</v>
      </c>
      <c r="F735" t="s">
        <v>79</v>
      </c>
      <c r="G735" t="s">
        <v>80</v>
      </c>
      <c r="H735" t="s">
        <v>52</v>
      </c>
      <c r="I735" t="s">
        <v>42</v>
      </c>
      <c r="J735" t="s">
        <v>94</v>
      </c>
      <c r="K735" t="s">
        <v>36</v>
      </c>
      <c r="L735">
        <v>583.87</v>
      </c>
      <c r="M735">
        <v>4</v>
      </c>
      <c r="N735" s="2">
        <v>0.15</v>
      </c>
      <c r="O735">
        <v>2335.48</v>
      </c>
      <c r="P735">
        <v>350.322</v>
      </c>
      <c r="Q735">
        <f>Sheet1__3_1_1_1[[#This Row],[Gross_Revenue]]-Sheet1__3_1_1_1[[#This Row],[Discount_Amount]]</f>
        <v>1985.1579999999999</v>
      </c>
      <c r="R735">
        <v>1230.8</v>
      </c>
      <c r="S735">
        <f>Sheet1__3_1_1_1[[#This Row],[Net_Revenue]]-Sheet1__3_1_1_1[[#This Row],[COGS]]</f>
        <v>754.35799999999995</v>
      </c>
    </row>
    <row r="736" spans="1:19" x14ac:dyDescent="0.25">
      <c r="A736" t="s">
        <v>831</v>
      </c>
      <c r="B736" s="1">
        <v>44818</v>
      </c>
      <c r="C736" t="s">
        <v>77</v>
      </c>
      <c r="D736" t="s">
        <v>82</v>
      </c>
      <c r="E736" t="s">
        <v>39</v>
      </c>
      <c r="F736" t="s">
        <v>55</v>
      </c>
      <c r="G736" t="s">
        <v>67</v>
      </c>
      <c r="H736" t="s">
        <v>52</v>
      </c>
      <c r="I736" t="s">
        <v>34</v>
      </c>
      <c r="J736" t="s">
        <v>49</v>
      </c>
      <c r="K736" t="s">
        <v>143</v>
      </c>
      <c r="L736">
        <v>66.959999999999994</v>
      </c>
      <c r="M736">
        <v>6</v>
      </c>
      <c r="N736" s="2">
        <v>0.05</v>
      </c>
      <c r="O736">
        <v>401.76</v>
      </c>
      <c r="P736">
        <v>20.088000000000001</v>
      </c>
      <c r="Q736">
        <f>Sheet1__3_1_1_1[[#This Row],[Gross_Revenue]]-Sheet1__3_1_1_1[[#This Row],[Discount_Amount]]</f>
        <v>381.67199999999997</v>
      </c>
      <c r="R736">
        <v>160.30000000000001</v>
      </c>
      <c r="S736">
        <f>Sheet1__3_1_1_1[[#This Row],[Net_Revenue]]-Sheet1__3_1_1_1[[#This Row],[COGS]]</f>
        <v>221.37199999999996</v>
      </c>
    </row>
    <row r="737" spans="1:19" x14ac:dyDescent="0.25">
      <c r="A737" t="s">
        <v>832</v>
      </c>
      <c r="B737" s="1">
        <v>44656</v>
      </c>
      <c r="C737" t="s">
        <v>19</v>
      </c>
      <c r="D737" t="s">
        <v>91</v>
      </c>
      <c r="E737" t="s">
        <v>63</v>
      </c>
      <c r="F737" t="s">
        <v>55</v>
      </c>
      <c r="G737" t="s">
        <v>67</v>
      </c>
      <c r="H737" t="s">
        <v>47</v>
      </c>
      <c r="I737" t="s">
        <v>42</v>
      </c>
      <c r="J737" t="s">
        <v>49</v>
      </c>
      <c r="K737" t="s">
        <v>27</v>
      </c>
      <c r="L737">
        <v>87.28</v>
      </c>
      <c r="M737">
        <v>3</v>
      </c>
      <c r="N737" s="2">
        <v>0</v>
      </c>
      <c r="O737">
        <v>261.84000000000003</v>
      </c>
      <c r="P737">
        <v>0</v>
      </c>
      <c r="Q737">
        <f>Sheet1__3_1_1_1[[#This Row],[Gross_Revenue]]-Sheet1__3_1_1_1[[#This Row],[Discount_Amount]]</f>
        <v>261.84000000000003</v>
      </c>
      <c r="R737">
        <v>109.97</v>
      </c>
      <c r="S737">
        <f>Sheet1__3_1_1_1[[#This Row],[Net_Revenue]]-Sheet1__3_1_1_1[[#This Row],[COGS]]</f>
        <v>151.87000000000003</v>
      </c>
    </row>
    <row r="738" spans="1:19" x14ac:dyDescent="0.25">
      <c r="A738" t="s">
        <v>833</v>
      </c>
      <c r="B738" s="1">
        <v>45022</v>
      </c>
      <c r="C738" t="s">
        <v>29</v>
      </c>
      <c r="D738" t="s">
        <v>38</v>
      </c>
      <c r="E738" t="s">
        <v>66</v>
      </c>
      <c r="F738" t="s">
        <v>69</v>
      </c>
      <c r="G738" t="s">
        <v>101</v>
      </c>
      <c r="H738" t="s">
        <v>41</v>
      </c>
      <c r="I738" t="s">
        <v>34</v>
      </c>
      <c r="J738" t="s">
        <v>94</v>
      </c>
      <c r="K738" t="s">
        <v>36</v>
      </c>
      <c r="L738">
        <v>9.3800000000000008</v>
      </c>
      <c r="M738">
        <v>22</v>
      </c>
      <c r="N738" s="2">
        <v>0.1</v>
      </c>
      <c r="O738">
        <v>206.36</v>
      </c>
      <c r="P738">
        <v>20.636000000000003</v>
      </c>
      <c r="Q738">
        <f>Sheet1__3_1_1_1[[#This Row],[Gross_Revenue]]-Sheet1__3_1_1_1[[#This Row],[Discount_Amount]]</f>
        <v>185.72400000000002</v>
      </c>
      <c r="R738">
        <v>70.569999999999993</v>
      </c>
      <c r="S738">
        <f>Sheet1__3_1_1_1[[#This Row],[Net_Revenue]]-Sheet1__3_1_1_1[[#This Row],[COGS]]</f>
        <v>115.15400000000002</v>
      </c>
    </row>
    <row r="739" spans="1:19" x14ac:dyDescent="0.25">
      <c r="A739" t="s">
        <v>834</v>
      </c>
      <c r="B739" s="1">
        <v>45022</v>
      </c>
      <c r="C739" t="s">
        <v>99</v>
      </c>
      <c r="D739" t="s">
        <v>148</v>
      </c>
      <c r="E739" t="s">
        <v>39</v>
      </c>
      <c r="F739" t="s">
        <v>79</v>
      </c>
      <c r="G739" t="s">
        <v>56</v>
      </c>
      <c r="H739" t="s">
        <v>111</v>
      </c>
      <c r="I739" t="s">
        <v>34</v>
      </c>
      <c r="J739" t="s">
        <v>26</v>
      </c>
      <c r="K739" t="s">
        <v>27</v>
      </c>
      <c r="L739">
        <v>38.54</v>
      </c>
      <c r="M739">
        <v>5</v>
      </c>
      <c r="N739" s="2">
        <v>0.2</v>
      </c>
      <c r="O739">
        <v>192.7</v>
      </c>
      <c r="P739">
        <v>38.54</v>
      </c>
      <c r="Q739">
        <f>Sheet1__3_1_1_1[[#This Row],[Gross_Revenue]]-Sheet1__3_1_1_1[[#This Row],[Discount_Amount]]</f>
        <v>154.16</v>
      </c>
      <c r="R739">
        <v>95.58</v>
      </c>
      <c r="S739">
        <f>Sheet1__3_1_1_1[[#This Row],[Net_Revenue]]-Sheet1__3_1_1_1[[#This Row],[COGS]]</f>
        <v>58.58</v>
      </c>
    </row>
    <row r="740" spans="1:19" x14ac:dyDescent="0.25">
      <c r="A740" t="s">
        <v>835</v>
      </c>
      <c r="B740" s="1">
        <v>44760</v>
      </c>
      <c r="C740" t="s">
        <v>19</v>
      </c>
      <c r="D740" t="s">
        <v>20</v>
      </c>
      <c r="E740" t="s">
        <v>39</v>
      </c>
      <c r="F740" t="s">
        <v>22</v>
      </c>
      <c r="G740" t="s">
        <v>113</v>
      </c>
      <c r="H740" t="s">
        <v>108</v>
      </c>
      <c r="I740" t="s">
        <v>42</v>
      </c>
      <c r="J740" t="s">
        <v>94</v>
      </c>
      <c r="K740" t="s">
        <v>27</v>
      </c>
      <c r="L740">
        <v>14.84</v>
      </c>
      <c r="M740">
        <v>27</v>
      </c>
      <c r="N740" s="2">
        <v>0</v>
      </c>
      <c r="O740">
        <v>400.68</v>
      </c>
      <c r="P740">
        <v>0</v>
      </c>
      <c r="Q740">
        <f>Sheet1__3_1_1_1[[#This Row],[Gross_Revenue]]-Sheet1__3_1_1_1[[#This Row],[Discount_Amount]]</f>
        <v>400.68</v>
      </c>
      <c r="R740">
        <v>220.37</v>
      </c>
      <c r="S740">
        <f>Sheet1__3_1_1_1[[#This Row],[Net_Revenue]]-Sheet1__3_1_1_1[[#This Row],[COGS]]</f>
        <v>180.31</v>
      </c>
    </row>
    <row r="741" spans="1:19" x14ac:dyDescent="0.25">
      <c r="A741" t="s">
        <v>836</v>
      </c>
      <c r="B741" s="1">
        <v>44714</v>
      </c>
      <c r="C741" t="s">
        <v>19</v>
      </c>
      <c r="D741" t="s">
        <v>130</v>
      </c>
      <c r="E741" t="s">
        <v>63</v>
      </c>
      <c r="F741" t="s">
        <v>31</v>
      </c>
      <c r="G741" t="s">
        <v>122</v>
      </c>
      <c r="H741" t="s">
        <v>87</v>
      </c>
      <c r="I741" t="s">
        <v>42</v>
      </c>
      <c r="J741" t="s">
        <v>35</v>
      </c>
      <c r="K741" t="s">
        <v>53</v>
      </c>
      <c r="L741">
        <v>453.92</v>
      </c>
      <c r="M741">
        <v>1</v>
      </c>
      <c r="N741" s="2">
        <v>0.15</v>
      </c>
      <c r="O741">
        <v>453.92</v>
      </c>
      <c r="P741">
        <v>68.087999999999994</v>
      </c>
      <c r="Q741">
        <f>Sheet1__3_1_1_1[[#This Row],[Gross_Revenue]]-Sheet1__3_1_1_1[[#This Row],[Discount_Amount]]</f>
        <v>385.83199999999999</v>
      </c>
      <c r="R741">
        <v>185.2</v>
      </c>
      <c r="S741">
        <f>Sheet1__3_1_1_1[[#This Row],[Net_Revenue]]-Sheet1__3_1_1_1[[#This Row],[COGS]]</f>
        <v>200.63200000000001</v>
      </c>
    </row>
    <row r="742" spans="1:19" x14ac:dyDescent="0.25">
      <c r="A742" t="s">
        <v>837</v>
      </c>
      <c r="B742" s="1">
        <v>44940</v>
      </c>
      <c r="C742" t="s">
        <v>29</v>
      </c>
      <c r="D742" t="s">
        <v>38</v>
      </c>
      <c r="E742" t="s">
        <v>66</v>
      </c>
      <c r="F742" t="s">
        <v>55</v>
      </c>
      <c r="G742" t="s">
        <v>103</v>
      </c>
      <c r="H742" t="s">
        <v>59</v>
      </c>
      <c r="I742" t="s">
        <v>42</v>
      </c>
      <c r="J742" t="s">
        <v>35</v>
      </c>
      <c r="K742" t="s">
        <v>53</v>
      </c>
      <c r="L742">
        <v>174.02</v>
      </c>
      <c r="M742">
        <v>8</v>
      </c>
      <c r="N742" s="2">
        <v>0.1</v>
      </c>
      <c r="O742">
        <v>1392.16</v>
      </c>
      <c r="P742">
        <v>139.21600000000001</v>
      </c>
      <c r="Q742">
        <f>Sheet1__3_1_1_1[[#This Row],[Gross_Revenue]]-Sheet1__3_1_1_1[[#This Row],[Discount_Amount]]</f>
        <v>1252.944</v>
      </c>
      <c r="R742">
        <v>526.23</v>
      </c>
      <c r="S742">
        <f>Sheet1__3_1_1_1[[#This Row],[Net_Revenue]]-Sheet1__3_1_1_1[[#This Row],[COGS]]</f>
        <v>726.71399999999994</v>
      </c>
    </row>
    <row r="743" spans="1:19" x14ac:dyDescent="0.25">
      <c r="A743" t="s">
        <v>838</v>
      </c>
      <c r="B743" s="1">
        <v>44956</v>
      </c>
      <c r="C743" t="s">
        <v>77</v>
      </c>
      <c r="D743" t="s">
        <v>78</v>
      </c>
      <c r="E743" t="s">
        <v>66</v>
      </c>
      <c r="F743" t="s">
        <v>69</v>
      </c>
      <c r="G743" t="s">
        <v>73</v>
      </c>
      <c r="H743" t="s">
        <v>41</v>
      </c>
      <c r="I743" t="s">
        <v>48</v>
      </c>
      <c r="J743" t="s">
        <v>49</v>
      </c>
      <c r="K743" t="s">
        <v>27</v>
      </c>
      <c r="L743">
        <v>14.79</v>
      </c>
      <c r="M743">
        <v>21</v>
      </c>
      <c r="N743" s="2">
        <v>0.2</v>
      </c>
      <c r="O743">
        <v>310.58999999999997</v>
      </c>
      <c r="P743">
        <v>62.117999999999995</v>
      </c>
      <c r="Q743">
        <f>Sheet1__3_1_1_1[[#This Row],[Gross_Revenue]]-Sheet1__3_1_1_1[[#This Row],[Discount_Amount]]</f>
        <v>248.47199999999998</v>
      </c>
      <c r="R743">
        <v>94.42</v>
      </c>
      <c r="S743">
        <f>Sheet1__3_1_1_1[[#This Row],[Net_Revenue]]-Sheet1__3_1_1_1[[#This Row],[COGS]]</f>
        <v>154.05199999999996</v>
      </c>
    </row>
    <row r="744" spans="1:19" x14ac:dyDescent="0.25">
      <c r="A744" t="s">
        <v>839</v>
      </c>
      <c r="B744" s="1">
        <v>44658</v>
      </c>
      <c r="C744" t="s">
        <v>29</v>
      </c>
      <c r="D744" t="s">
        <v>62</v>
      </c>
      <c r="E744" t="s">
        <v>66</v>
      </c>
      <c r="F744" t="s">
        <v>55</v>
      </c>
      <c r="G744" t="s">
        <v>56</v>
      </c>
      <c r="H744" t="s">
        <v>57</v>
      </c>
      <c r="I744" t="s">
        <v>34</v>
      </c>
      <c r="J744" t="s">
        <v>26</v>
      </c>
      <c r="K744" t="s">
        <v>143</v>
      </c>
      <c r="L744">
        <v>44.46</v>
      </c>
      <c r="M744">
        <v>1</v>
      </c>
      <c r="N744" s="2">
        <v>0</v>
      </c>
      <c r="O744">
        <v>44.46</v>
      </c>
      <c r="P744">
        <v>0</v>
      </c>
      <c r="Q744">
        <f>Sheet1__3_1_1_1[[#This Row],[Gross_Revenue]]-Sheet1__3_1_1_1[[#This Row],[Discount_Amount]]</f>
        <v>44.46</v>
      </c>
      <c r="R744">
        <v>18.670000000000002</v>
      </c>
      <c r="S744">
        <f>Sheet1__3_1_1_1[[#This Row],[Net_Revenue]]-Sheet1__3_1_1_1[[#This Row],[COGS]]</f>
        <v>25.79</v>
      </c>
    </row>
    <row r="745" spans="1:19" x14ac:dyDescent="0.25">
      <c r="A745" t="s">
        <v>840</v>
      </c>
      <c r="B745" s="1">
        <v>45261</v>
      </c>
      <c r="C745" t="s">
        <v>19</v>
      </c>
      <c r="D745" t="s">
        <v>130</v>
      </c>
      <c r="E745" t="s">
        <v>21</v>
      </c>
      <c r="F745" t="s">
        <v>31</v>
      </c>
      <c r="G745" t="s">
        <v>93</v>
      </c>
      <c r="H745" t="s">
        <v>108</v>
      </c>
      <c r="I745" t="s">
        <v>34</v>
      </c>
      <c r="J745" t="s">
        <v>26</v>
      </c>
      <c r="K745" t="s">
        <v>53</v>
      </c>
      <c r="L745">
        <v>162.04</v>
      </c>
      <c r="M745">
        <v>3</v>
      </c>
      <c r="N745" s="2">
        <v>0</v>
      </c>
      <c r="O745">
        <v>486.12</v>
      </c>
      <c r="P745">
        <v>0</v>
      </c>
      <c r="Q745">
        <f>Sheet1__3_1_1_1[[#This Row],[Gross_Revenue]]-Sheet1__3_1_1_1[[#This Row],[Discount_Amount]]</f>
        <v>486.12</v>
      </c>
      <c r="R745">
        <v>233.34</v>
      </c>
      <c r="S745">
        <f>Sheet1__3_1_1_1[[#This Row],[Net_Revenue]]-Sheet1__3_1_1_1[[#This Row],[COGS]]</f>
        <v>252.78</v>
      </c>
    </row>
    <row r="746" spans="1:19" x14ac:dyDescent="0.25">
      <c r="A746" t="s">
        <v>841</v>
      </c>
      <c r="B746" s="1">
        <v>44872</v>
      </c>
      <c r="C746" t="s">
        <v>19</v>
      </c>
      <c r="D746" t="s">
        <v>20</v>
      </c>
      <c r="E746" t="s">
        <v>39</v>
      </c>
      <c r="F746" t="s">
        <v>55</v>
      </c>
      <c r="G746" t="s">
        <v>67</v>
      </c>
      <c r="H746" t="s">
        <v>71</v>
      </c>
      <c r="I746" t="s">
        <v>25</v>
      </c>
      <c r="J746" t="s">
        <v>49</v>
      </c>
      <c r="K746" t="s">
        <v>36</v>
      </c>
      <c r="L746">
        <v>70.08</v>
      </c>
      <c r="M746">
        <v>8</v>
      </c>
      <c r="N746" s="2">
        <v>0.05</v>
      </c>
      <c r="O746">
        <v>560.64</v>
      </c>
      <c r="P746">
        <v>28.032</v>
      </c>
      <c r="Q746">
        <f>Sheet1__3_1_1_1[[#This Row],[Gross_Revenue]]-Sheet1__3_1_1_1[[#This Row],[Discount_Amount]]</f>
        <v>532.60799999999995</v>
      </c>
      <c r="R746">
        <v>223.7</v>
      </c>
      <c r="S746">
        <f>Sheet1__3_1_1_1[[#This Row],[Net_Revenue]]-Sheet1__3_1_1_1[[#This Row],[COGS]]</f>
        <v>308.90799999999996</v>
      </c>
    </row>
    <row r="747" spans="1:19" x14ac:dyDescent="0.25">
      <c r="A747" t="s">
        <v>842</v>
      </c>
      <c r="B747" s="1">
        <v>45272</v>
      </c>
      <c r="C747" t="s">
        <v>44</v>
      </c>
      <c r="D747" t="s">
        <v>45</v>
      </c>
      <c r="E747" t="s">
        <v>63</v>
      </c>
      <c r="F747" t="s">
        <v>55</v>
      </c>
      <c r="G747" t="s">
        <v>56</v>
      </c>
      <c r="H747" t="s">
        <v>41</v>
      </c>
      <c r="I747" t="s">
        <v>48</v>
      </c>
      <c r="J747" t="s">
        <v>35</v>
      </c>
      <c r="K747" t="s">
        <v>36</v>
      </c>
      <c r="L747">
        <v>51.56</v>
      </c>
      <c r="M747">
        <v>8</v>
      </c>
      <c r="N747" s="2">
        <v>0</v>
      </c>
      <c r="O747">
        <v>412.48</v>
      </c>
      <c r="P747">
        <v>0</v>
      </c>
      <c r="Q747">
        <f>Sheet1__3_1_1_1[[#This Row],[Gross_Revenue]]-Sheet1__3_1_1_1[[#This Row],[Discount_Amount]]</f>
        <v>412.48</v>
      </c>
      <c r="R747">
        <v>173.24</v>
      </c>
      <c r="S747">
        <f>Sheet1__3_1_1_1[[#This Row],[Net_Revenue]]-Sheet1__3_1_1_1[[#This Row],[COGS]]</f>
        <v>239.24</v>
      </c>
    </row>
    <row r="748" spans="1:19" x14ac:dyDescent="0.25">
      <c r="A748" t="s">
        <v>843</v>
      </c>
      <c r="B748" s="1">
        <v>44849</v>
      </c>
      <c r="C748" t="s">
        <v>29</v>
      </c>
      <c r="D748" t="s">
        <v>30</v>
      </c>
      <c r="E748" t="s">
        <v>66</v>
      </c>
      <c r="F748" t="s">
        <v>31</v>
      </c>
      <c r="G748" t="s">
        <v>166</v>
      </c>
      <c r="H748" t="s">
        <v>59</v>
      </c>
      <c r="I748" t="s">
        <v>25</v>
      </c>
      <c r="J748" t="s">
        <v>49</v>
      </c>
      <c r="K748" t="s">
        <v>143</v>
      </c>
      <c r="L748">
        <v>268.39</v>
      </c>
      <c r="M748">
        <v>3</v>
      </c>
      <c r="N748" s="2">
        <v>0</v>
      </c>
      <c r="O748">
        <v>805.17</v>
      </c>
      <c r="P748">
        <v>0</v>
      </c>
      <c r="Q748">
        <f>Sheet1__3_1_1_1[[#This Row],[Gross_Revenue]]-Sheet1__3_1_1_1[[#This Row],[Discount_Amount]]</f>
        <v>805.17</v>
      </c>
      <c r="R748">
        <v>386.48</v>
      </c>
      <c r="S748">
        <f>Sheet1__3_1_1_1[[#This Row],[Net_Revenue]]-Sheet1__3_1_1_1[[#This Row],[COGS]]</f>
        <v>418.68999999999994</v>
      </c>
    </row>
    <row r="749" spans="1:19" x14ac:dyDescent="0.25">
      <c r="A749" t="s">
        <v>844</v>
      </c>
      <c r="B749" s="1">
        <v>44728</v>
      </c>
      <c r="C749" t="s">
        <v>44</v>
      </c>
      <c r="D749" t="s">
        <v>45</v>
      </c>
      <c r="E749" t="s">
        <v>21</v>
      </c>
      <c r="F749" t="s">
        <v>79</v>
      </c>
      <c r="G749" t="s">
        <v>85</v>
      </c>
      <c r="H749" t="s">
        <v>106</v>
      </c>
      <c r="I749" t="s">
        <v>25</v>
      </c>
      <c r="J749" t="s">
        <v>35</v>
      </c>
      <c r="K749" t="s">
        <v>53</v>
      </c>
      <c r="L749">
        <v>775.56</v>
      </c>
      <c r="M749">
        <v>6</v>
      </c>
      <c r="N749" s="2">
        <v>0.15</v>
      </c>
      <c r="O749">
        <v>4653.3599999999997</v>
      </c>
      <c r="P749">
        <v>698.00399999999991</v>
      </c>
      <c r="Q749">
        <f>Sheet1__3_1_1_1[[#This Row],[Gross_Revenue]]-Sheet1__3_1_1_1[[#This Row],[Discount_Amount]]</f>
        <v>3955.3559999999998</v>
      </c>
      <c r="R749">
        <v>2452.3200000000002</v>
      </c>
      <c r="S749">
        <f>Sheet1__3_1_1_1[[#This Row],[Net_Revenue]]-Sheet1__3_1_1_1[[#This Row],[COGS]]</f>
        <v>1503.0359999999996</v>
      </c>
    </row>
    <row r="750" spans="1:19" x14ac:dyDescent="0.25">
      <c r="A750" t="s">
        <v>845</v>
      </c>
      <c r="B750" s="1">
        <v>44793</v>
      </c>
      <c r="C750" t="s">
        <v>19</v>
      </c>
      <c r="D750" t="s">
        <v>91</v>
      </c>
      <c r="E750" t="s">
        <v>21</v>
      </c>
      <c r="F750" t="s">
        <v>69</v>
      </c>
      <c r="G750" t="s">
        <v>190</v>
      </c>
      <c r="H750" t="s">
        <v>87</v>
      </c>
      <c r="I750" t="s">
        <v>25</v>
      </c>
      <c r="J750" t="s">
        <v>89</v>
      </c>
      <c r="K750" t="s">
        <v>27</v>
      </c>
      <c r="L750">
        <v>20.77</v>
      </c>
      <c r="M750">
        <v>5</v>
      </c>
      <c r="N750" s="2">
        <v>0</v>
      </c>
      <c r="O750">
        <v>103.85</v>
      </c>
      <c r="P750">
        <v>0</v>
      </c>
      <c r="Q750">
        <f>Sheet1__3_1_1_1[[#This Row],[Gross_Revenue]]-Sheet1__3_1_1_1[[#This Row],[Discount_Amount]]</f>
        <v>103.85</v>
      </c>
      <c r="R750">
        <v>39.46</v>
      </c>
      <c r="S750">
        <f>Sheet1__3_1_1_1[[#This Row],[Net_Revenue]]-Sheet1__3_1_1_1[[#This Row],[COGS]]</f>
        <v>64.389999999999986</v>
      </c>
    </row>
    <row r="751" spans="1:19" x14ac:dyDescent="0.25">
      <c r="A751" t="s">
        <v>846</v>
      </c>
      <c r="B751" s="1">
        <v>45154</v>
      </c>
      <c r="C751" t="s">
        <v>99</v>
      </c>
      <c r="D751" t="s">
        <v>132</v>
      </c>
      <c r="E751" t="s">
        <v>63</v>
      </c>
      <c r="F751" t="s">
        <v>79</v>
      </c>
      <c r="G751" t="s">
        <v>85</v>
      </c>
      <c r="H751" t="s">
        <v>52</v>
      </c>
      <c r="I751" t="s">
        <v>25</v>
      </c>
      <c r="J751" t="s">
        <v>94</v>
      </c>
      <c r="K751" t="s">
        <v>143</v>
      </c>
      <c r="L751">
        <v>898.8</v>
      </c>
      <c r="M751">
        <v>4</v>
      </c>
      <c r="N751" s="2">
        <v>0.05</v>
      </c>
      <c r="O751">
        <v>3595.2</v>
      </c>
      <c r="P751">
        <v>179.76</v>
      </c>
      <c r="Q751">
        <f>Sheet1__3_1_1_1[[#This Row],[Gross_Revenue]]-Sheet1__3_1_1_1[[#This Row],[Discount_Amount]]</f>
        <v>3415.4399999999996</v>
      </c>
      <c r="R751">
        <v>2117.5700000000002</v>
      </c>
      <c r="S751">
        <f>Sheet1__3_1_1_1[[#This Row],[Net_Revenue]]-Sheet1__3_1_1_1[[#This Row],[COGS]]</f>
        <v>1297.8699999999994</v>
      </c>
    </row>
    <row r="752" spans="1:19" x14ac:dyDescent="0.25">
      <c r="A752" t="s">
        <v>847</v>
      </c>
      <c r="B752" s="1">
        <v>44671</v>
      </c>
      <c r="C752" t="s">
        <v>77</v>
      </c>
      <c r="D752" t="s">
        <v>82</v>
      </c>
      <c r="E752" t="s">
        <v>63</v>
      </c>
      <c r="F752" t="s">
        <v>31</v>
      </c>
      <c r="G752" t="s">
        <v>122</v>
      </c>
      <c r="H752" t="s">
        <v>108</v>
      </c>
      <c r="I752" t="s">
        <v>34</v>
      </c>
      <c r="J752" t="s">
        <v>89</v>
      </c>
      <c r="K752" t="s">
        <v>36</v>
      </c>
      <c r="L752">
        <v>464.66</v>
      </c>
      <c r="M752">
        <v>8</v>
      </c>
      <c r="N752" s="2">
        <v>0.15</v>
      </c>
      <c r="O752">
        <v>3717.28</v>
      </c>
      <c r="P752">
        <v>557.59199999999998</v>
      </c>
      <c r="Q752">
        <f>Sheet1__3_1_1_1[[#This Row],[Gross_Revenue]]-Sheet1__3_1_1_1[[#This Row],[Discount_Amount]]</f>
        <v>3159.6880000000001</v>
      </c>
      <c r="R752">
        <v>1516.65</v>
      </c>
      <c r="S752">
        <f>Sheet1__3_1_1_1[[#This Row],[Net_Revenue]]-Sheet1__3_1_1_1[[#This Row],[COGS]]</f>
        <v>1643.038</v>
      </c>
    </row>
    <row r="753" spans="1:19" x14ac:dyDescent="0.25">
      <c r="A753" t="s">
        <v>848</v>
      </c>
      <c r="B753" s="1">
        <v>44796</v>
      </c>
      <c r="C753" t="s">
        <v>19</v>
      </c>
      <c r="D753" t="s">
        <v>130</v>
      </c>
      <c r="E753" t="s">
        <v>63</v>
      </c>
      <c r="F753" t="s">
        <v>22</v>
      </c>
      <c r="G753" t="s">
        <v>23</v>
      </c>
      <c r="H753" t="s">
        <v>71</v>
      </c>
      <c r="I753" t="s">
        <v>60</v>
      </c>
      <c r="J753" t="s">
        <v>49</v>
      </c>
      <c r="K753" t="s">
        <v>143</v>
      </c>
      <c r="L753">
        <v>15.57</v>
      </c>
      <c r="M753">
        <v>10</v>
      </c>
      <c r="N753" s="2">
        <v>0.05</v>
      </c>
      <c r="O753">
        <v>155.69999999999999</v>
      </c>
      <c r="P753">
        <v>7.7850000000000001</v>
      </c>
      <c r="Q753">
        <f>Sheet1__3_1_1_1[[#This Row],[Gross_Revenue]]-Sheet1__3_1_1_1[[#This Row],[Discount_Amount]]</f>
        <v>147.91499999999999</v>
      </c>
      <c r="R753">
        <v>81.349999999999994</v>
      </c>
      <c r="S753">
        <f>Sheet1__3_1_1_1[[#This Row],[Net_Revenue]]-Sheet1__3_1_1_1[[#This Row],[COGS]]</f>
        <v>66.564999999999998</v>
      </c>
    </row>
    <row r="754" spans="1:19" x14ac:dyDescent="0.25">
      <c r="A754" t="s">
        <v>849</v>
      </c>
      <c r="B754" s="1">
        <v>44793</v>
      </c>
      <c r="C754" t="s">
        <v>44</v>
      </c>
      <c r="D754" t="s">
        <v>51</v>
      </c>
      <c r="E754" t="s">
        <v>63</v>
      </c>
      <c r="F754" t="s">
        <v>79</v>
      </c>
      <c r="G754" t="s">
        <v>172</v>
      </c>
      <c r="H754" t="s">
        <v>24</v>
      </c>
      <c r="I754" t="s">
        <v>48</v>
      </c>
      <c r="J754" t="s">
        <v>26</v>
      </c>
      <c r="K754" t="s">
        <v>36</v>
      </c>
      <c r="L754">
        <v>376.8</v>
      </c>
      <c r="M754">
        <v>8</v>
      </c>
      <c r="N754" s="2">
        <v>0.05</v>
      </c>
      <c r="O754">
        <v>3014.4</v>
      </c>
      <c r="P754">
        <v>150.72</v>
      </c>
      <c r="Q754">
        <f>Sheet1__3_1_1_1[[#This Row],[Gross_Revenue]]-Sheet1__3_1_1_1[[#This Row],[Discount_Amount]]</f>
        <v>2863.6800000000003</v>
      </c>
      <c r="R754">
        <v>1775.48</v>
      </c>
      <c r="S754">
        <f>Sheet1__3_1_1_1[[#This Row],[Net_Revenue]]-Sheet1__3_1_1_1[[#This Row],[COGS]]</f>
        <v>1088.2000000000003</v>
      </c>
    </row>
    <row r="755" spans="1:19" x14ac:dyDescent="0.25">
      <c r="A755" t="s">
        <v>850</v>
      </c>
      <c r="B755" s="1">
        <v>44692</v>
      </c>
      <c r="C755" t="s">
        <v>99</v>
      </c>
      <c r="D755" t="s">
        <v>148</v>
      </c>
      <c r="E755" t="s">
        <v>39</v>
      </c>
      <c r="F755" t="s">
        <v>69</v>
      </c>
      <c r="G755" t="s">
        <v>190</v>
      </c>
      <c r="H755" t="s">
        <v>108</v>
      </c>
      <c r="I755" t="s">
        <v>25</v>
      </c>
      <c r="J755" t="s">
        <v>94</v>
      </c>
      <c r="K755" t="s">
        <v>143</v>
      </c>
      <c r="L755">
        <v>19.63</v>
      </c>
      <c r="M755">
        <v>21</v>
      </c>
      <c r="N755" s="2">
        <v>0</v>
      </c>
      <c r="O755">
        <v>412.22999999999996</v>
      </c>
      <c r="P755">
        <v>0</v>
      </c>
      <c r="Q755">
        <f>Sheet1__3_1_1_1[[#This Row],[Gross_Revenue]]-Sheet1__3_1_1_1[[#This Row],[Discount_Amount]]</f>
        <v>412.22999999999996</v>
      </c>
      <c r="R755">
        <v>156.65</v>
      </c>
      <c r="S755">
        <f>Sheet1__3_1_1_1[[#This Row],[Net_Revenue]]-Sheet1__3_1_1_1[[#This Row],[COGS]]</f>
        <v>255.57999999999996</v>
      </c>
    </row>
    <row r="756" spans="1:19" x14ac:dyDescent="0.25">
      <c r="A756" t="s">
        <v>851</v>
      </c>
      <c r="B756" s="1">
        <v>44635</v>
      </c>
      <c r="C756" t="s">
        <v>44</v>
      </c>
      <c r="D756" t="s">
        <v>51</v>
      </c>
      <c r="E756" t="s">
        <v>63</v>
      </c>
      <c r="F756" t="s">
        <v>69</v>
      </c>
      <c r="G756" t="s">
        <v>190</v>
      </c>
      <c r="H756" t="s">
        <v>87</v>
      </c>
      <c r="I756" t="s">
        <v>60</v>
      </c>
      <c r="J756" t="s">
        <v>89</v>
      </c>
      <c r="K756" t="s">
        <v>53</v>
      </c>
      <c r="L756">
        <v>16.239999999999998</v>
      </c>
      <c r="M756">
        <v>25</v>
      </c>
      <c r="N756" s="2">
        <v>0.2</v>
      </c>
      <c r="O756">
        <v>405.99999999999994</v>
      </c>
      <c r="P756">
        <v>81.199999999999989</v>
      </c>
      <c r="Q756">
        <f>Sheet1__3_1_1_1[[#This Row],[Gross_Revenue]]-Sheet1__3_1_1_1[[#This Row],[Discount_Amount]]</f>
        <v>324.79999999999995</v>
      </c>
      <c r="R756">
        <v>123.42</v>
      </c>
      <c r="S756">
        <f>Sheet1__3_1_1_1[[#This Row],[Net_Revenue]]-Sheet1__3_1_1_1[[#This Row],[COGS]]</f>
        <v>201.37999999999994</v>
      </c>
    </row>
    <row r="757" spans="1:19" x14ac:dyDescent="0.25">
      <c r="A757" t="s">
        <v>852</v>
      </c>
      <c r="B757" s="1">
        <v>44861</v>
      </c>
      <c r="C757" t="s">
        <v>99</v>
      </c>
      <c r="D757" t="s">
        <v>100</v>
      </c>
      <c r="E757" t="s">
        <v>21</v>
      </c>
      <c r="F757" t="s">
        <v>55</v>
      </c>
      <c r="G757" t="s">
        <v>103</v>
      </c>
      <c r="H757" t="s">
        <v>52</v>
      </c>
      <c r="I757" t="s">
        <v>34</v>
      </c>
      <c r="J757" t="s">
        <v>49</v>
      </c>
      <c r="K757" t="s">
        <v>36</v>
      </c>
      <c r="L757">
        <v>196.06</v>
      </c>
      <c r="M757">
        <v>4</v>
      </c>
      <c r="N757" s="2">
        <v>0.05</v>
      </c>
      <c r="O757">
        <v>784.24</v>
      </c>
      <c r="P757">
        <v>39.212000000000003</v>
      </c>
      <c r="Q757">
        <f>Sheet1__3_1_1_1[[#This Row],[Gross_Revenue]]-Sheet1__3_1_1_1[[#This Row],[Discount_Amount]]</f>
        <v>745.02800000000002</v>
      </c>
      <c r="R757">
        <v>312.91000000000003</v>
      </c>
      <c r="S757">
        <f>Sheet1__3_1_1_1[[#This Row],[Net_Revenue]]-Sheet1__3_1_1_1[[#This Row],[COGS]]</f>
        <v>432.11799999999999</v>
      </c>
    </row>
    <row r="758" spans="1:19" x14ac:dyDescent="0.25">
      <c r="A758" t="s">
        <v>853</v>
      </c>
      <c r="B758" s="1">
        <v>44703</v>
      </c>
      <c r="C758" t="s">
        <v>44</v>
      </c>
      <c r="D758" t="s">
        <v>45</v>
      </c>
      <c r="E758" t="s">
        <v>39</v>
      </c>
      <c r="F758" t="s">
        <v>79</v>
      </c>
      <c r="G758" t="s">
        <v>85</v>
      </c>
      <c r="H758" t="s">
        <v>24</v>
      </c>
      <c r="I758" t="s">
        <v>60</v>
      </c>
      <c r="J758" t="s">
        <v>35</v>
      </c>
      <c r="K758" t="s">
        <v>143</v>
      </c>
      <c r="L758">
        <v>925.28</v>
      </c>
      <c r="M758">
        <v>7</v>
      </c>
      <c r="N758" s="2">
        <v>0.05</v>
      </c>
      <c r="O758">
        <v>6476.96</v>
      </c>
      <c r="P758">
        <v>323.84800000000001</v>
      </c>
      <c r="Q758">
        <f>Sheet1__3_1_1_1[[#This Row],[Gross_Revenue]]-Sheet1__3_1_1_1[[#This Row],[Discount_Amount]]</f>
        <v>6153.1120000000001</v>
      </c>
      <c r="R758">
        <v>3814.93</v>
      </c>
      <c r="S758">
        <f>Sheet1__3_1_1_1[[#This Row],[Net_Revenue]]-Sheet1__3_1_1_1[[#This Row],[COGS]]</f>
        <v>2338.1820000000002</v>
      </c>
    </row>
    <row r="759" spans="1:19" x14ac:dyDescent="0.25">
      <c r="A759" t="s">
        <v>854</v>
      </c>
      <c r="B759" s="1">
        <v>45283</v>
      </c>
      <c r="C759" t="s">
        <v>99</v>
      </c>
      <c r="D759" t="s">
        <v>132</v>
      </c>
      <c r="E759" t="s">
        <v>39</v>
      </c>
      <c r="F759" t="s">
        <v>69</v>
      </c>
      <c r="G759" t="s">
        <v>190</v>
      </c>
      <c r="H759" t="s">
        <v>41</v>
      </c>
      <c r="I759" t="s">
        <v>34</v>
      </c>
      <c r="J759" t="s">
        <v>26</v>
      </c>
      <c r="K759" t="s">
        <v>53</v>
      </c>
      <c r="L759">
        <v>17.64</v>
      </c>
      <c r="M759">
        <v>18</v>
      </c>
      <c r="N759" s="2">
        <v>0.15</v>
      </c>
      <c r="O759">
        <v>317.52</v>
      </c>
      <c r="P759">
        <v>47.627999999999993</v>
      </c>
      <c r="Q759">
        <f>Sheet1__3_1_1_1[[#This Row],[Gross_Revenue]]-Sheet1__3_1_1_1[[#This Row],[Discount_Amount]]</f>
        <v>269.892</v>
      </c>
      <c r="R759">
        <v>102.56</v>
      </c>
      <c r="S759">
        <f>Sheet1__3_1_1_1[[#This Row],[Net_Revenue]]-Sheet1__3_1_1_1[[#This Row],[COGS]]</f>
        <v>167.33199999999999</v>
      </c>
    </row>
    <row r="760" spans="1:19" x14ac:dyDescent="0.25">
      <c r="A760" t="s">
        <v>855</v>
      </c>
      <c r="B760" s="1">
        <v>44633</v>
      </c>
      <c r="C760" t="s">
        <v>99</v>
      </c>
      <c r="D760" t="s">
        <v>132</v>
      </c>
      <c r="E760" t="s">
        <v>21</v>
      </c>
      <c r="F760" t="s">
        <v>69</v>
      </c>
      <c r="G760" t="s">
        <v>70</v>
      </c>
      <c r="H760" t="s">
        <v>57</v>
      </c>
      <c r="I760" t="s">
        <v>34</v>
      </c>
      <c r="J760" t="s">
        <v>94</v>
      </c>
      <c r="K760" t="s">
        <v>53</v>
      </c>
      <c r="L760">
        <v>274.67</v>
      </c>
      <c r="M760">
        <v>9</v>
      </c>
      <c r="N760" s="2">
        <v>0</v>
      </c>
      <c r="O760">
        <v>2472.0300000000002</v>
      </c>
      <c r="P760">
        <v>0</v>
      </c>
      <c r="Q760">
        <f>Sheet1__3_1_1_1[[#This Row],[Gross_Revenue]]-Sheet1__3_1_1_1[[#This Row],[Discount_Amount]]</f>
        <v>2472.0300000000002</v>
      </c>
      <c r="R760">
        <v>939.37</v>
      </c>
      <c r="S760">
        <f>Sheet1__3_1_1_1[[#This Row],[Net_Revenue]]-Sheet1__3_1_1_1[[#This Row],[COGS]]</f>
        <v>1532.6600000000003</v>
      </c>
    </row>
    <row r="761" spans="1:19" x14ac:dyDescent="0.25">
      <c r="A761" t="s">
        <v>856</v>
      </c>
      <c r="B761" s="1">
        <v>44743</v>
      </c>
      <c r="C761" t="s">
        <v>29</v>
      </c>
      <c r="D761" t="s">
        <v>62</v>
      </c>
      <c r="E761" t="s">
        <v>63</v>
      </c>
      <c r="F761" t="s">
        <v>69</v>
      </c>
      <c r="G761" t="s">
        <v>73</v>
      </c>
      <c r="H761" t="s">
        <v>71</v>
      </c>
      <c r="I761" t="s">
        <v>34</v>
      </c>
      <c r="J761" t="s">
        <v>35</v>
      </c>
      <c r="K761" t="s">
        <v>143</v>
      </c>
      <c r="L761">
        <v>14.55</v>
      </c>
      <c r="M761">
        <v>5</v>
      </c>
      <c r="N761" s="2">
        <v>0.1</v>
      </c>
      <c r="O761">
        <v>72.75</v>
      </c>
      <c r="P761">
        <v>7.2750000000000004</v>
      </c>
      <c r="Q761">
        <f>Sheet1__3_1_1_1[[#This Row],[Gross_Revenue]]-Sheet1__3_1_1_1[[#This Row],[Discount_Amount]]</f>
        <v>65.474999999999994</v>
      </c>
      <c r="R761">
        <v>24.88</v>
      </c>
      <c r="S761">
        <f>Sheet1__3_1_1_1[[#This Row],[Net_Revenue]]-Sheet1__3_1_1_1[[#This Row],[COGS]]</f>
        <v>40.594999999999999</v>
      </c>
    </row>
    <row r="762" spans="1:19" x14ac:dyDescent="0.25">
      <c r="A762" t="s">
        <v>857</v>
      </c>
      <c r="B762" s="1">
        <v>44643</v>
      </c>
      <c r="C762" t="s">
        <v>99</v>
      </c>
      <c r="D762" t="s">
        <v>132</v>
      </c>
      <c r="E762" t="s">
        <v>21</v>
      </c>
      <c r="F762" t="s">
        <v>55</v>
      </c>
      <c r="G762" t="s">
        <v>120</v>
      </c>
      <c r="H762" t="s">
        <v>108</v>
      </c>
      <c r="I762" t="s">
        <v>42</v>
      </c>
      <c r="J762" t="s">
        <v>35</v>
      </c>
      <c r="K762" t="s">
        <v>36</v>
      </c>
      <c r="L762">
        <v>102.72</v>
      </c>
      <c r="M762">
        <v>5</v>
      </c>
      <c r="N762" s="2">
        <v>0.15</v>
      </c>
      <c r="O762">
        <v>513.6</v>
      </c>
      <c r="P762">
        <v>77.040000000000006</v>
      </c>
      <c r="Q762">
        <f>Sheet1__3_1_1_1[[#This Row],[Gross_Revenue]]-Sheet1__3_1_1_1[[#This Row],[Discount_Amount]]</f>
        <v>436.56</v>
      </c>
      <c r="R762">
        <v>183.36</v>
      </c>
      <c r="S762">
        <f>Sheet1__3_1_1_1[[#This Row],[Net_Revenue]]-Sheet1__3_1_1_1[[#This Row],[COGS]]</f>
        <v>253.2</v>
      </c>
    </row>
    <row r="763" spans="1:19" x14ac:dyDescent="0.25">
      <c r="A763" t="s">
        <v>858</v>
      </c>
      <c r="B763" s="1">
        <v>44590</v>
      </c>
      <c r="C763" t="s">
        <v>77</v>
      </c>
      <c r="D763" t="s">
        <v>82</v>
      </c>
      <c r="E763" t="s">
        <v>39</v>
      </c>
      <c r="F763" t="s">
        <v>69</v>
      </c>
      <c r="G763" t="s">
        <v>101</v>
      </c>
      <c r="H763" t="s">
        <v>106</v>
      </c>
      <c r="I763" t="s">
        <v>60</v>
      </c>
      <c r="J763" t="s">
        <v>35</v>
      </c>
      <c r="K763" t="s">
        <v>36</v>
      </c>
      <c r="L763" t="s">
        <v>1147</v>
      </c>
      <c r="M763">
        <v>17</v>
      </c>
      <c r="N763" s="2">
        <v>0.1</v>
      </c>
      <c r="O763">
        <v>0</v>
      </c>
      <c r="P763">
        <v>0</v>
      </c>
      <c r="Q763">
        <f>Sheet1__3_1_1_1[[#This Row],[Gross_Revenue]]-Sheet1__3_1_1_1[[#This Row],[Discount_Amount]]</f>
        <v>0</v>
      </c>
      <c r="R763" t="s">
        <v>1147</v>
      </c>
      <c r="S763" t="e">
        <f>Sheet1__3_1_1_1[[#This Row],[Net_Revenue]]-Sheet1__3_1_1_1[[#This Row],[COGS]]</f>
        <v>#VALUE!</v>
      </c>
    </row>
    <row r="764" spans="1:19" x14ac:dyDescent="0.25">
      <c r="A764" t="s">
        <v>859</v>
      </c>
      <c r="B764" s="1">
        <v>45159</v>
      </c>
      <c r="C764" t="s">
        <v>44</v>
      </c>
      <c r="D764" t="s">
        <v>51</v>
      </c>
      <c r="E764" t="s">
        <v>39</v>
      </c>
      <c r="F764" t="s">
        <v>69</v>
      </c>
      <c r="G764" t="s">
        <v>190</v>
      </c>
      <c r="H764" t="s">
        <v>59</v>
      </c>
      <c r="I764" t="s">
        <v>42</v>
      </c>
      <c r="J764" t="s">
        <v>35</v>
      </c>
      <c r="K764" t="s">
        <v>36</v>
      </c>
      <c r="L764">
        <v>16.239999999999998</v>
      </c>
      <c r="M764">
        <v>21</v>
      </c>
      <c r="N764" s="2">
        <v>0</v>
      </c>
      <c r="O764">
        <v>341.03999999999996</v>
      </c>
      <c r="P764">
        <v>0</v>
      </c>
      <c r="Q764">
        <f>Sheet1__3_1_1_1[[#This Row],[Gross_Revenue]]-Sheet1__3_1_1_1[[#This Row],[Discount_Amount]]</f>
        <v>341.03999999999996</v>
      </c>
      <c r="R764">
        <v>129.6</v>
      </c>
      <c r="S764">
        <f>Sheet1__3_1_1_1[[#This Row],[Net_Revenue]]-Sheet1__3_1_1_1[[#This Row],[COGS]]</f>
        <v>211.43999999999997</v>
      </c>
    </row>
    <row r="765" spans="1:19" x14ac:dyDescent="0.25">
      <c r="A765" t="s">
        <v>860</v>
      </c>
      <c r="B765" s="1">
        <v>44663</v>
      </c>
      <c r="C765" t="s">
        <v>99</v>
      </c>
      <c r="D765" t="s">
        <v>148</v>
      </c>
      <c r="E765" t="s">
        <v>66</v>
      </c>
      <c r="F765" t="s">
        <v>22</v>
      </c>
      <c r="G765" t="s">
        <v>75</v>
      </c>
      <c r="H765" t="s">
        <v>24</v>
      </c>
      <c r="I765" t="s">
        <v>60</v>
      </c>
      <c r="J765" t="s">
        <v>35</v>
      </c>
      <c r="K765" t="s">
        <v>27</v>
      </c>
      <c r="L765">
        <v>11.94</v>
      </c>
      <c r="M765">
        <v>3</v>
      </c>
      <c r="N765" s="2">
        <v>0.05</v>
      </c>
      <c r="O765">
        <v>35.82</v>
      </c>
      <c r="P765">
        <v>1.7910000000000001</v>
      </c>
      <c r="Q765">
        <f>Sheet1__3_1_1_1[[#This Row],[Gross_Revenue]]-Sheet1__3_1_1_1[[#This Row],[Discount_Amount]]</f>
        <v>34.029000000000003</v>
      </c>
      <c r="R765">
        <v>18.72</v>
      </c>
      <c r="S765">
        <f>Sheet1__3_1_1_1[[#This Row],[Net_Revenue]]-Sheet1__3_1_1_1[[#This Row],[COGS]]</f>
        <v>15.309000000000005</v>
      </c>
    </row>
    <row r="766" spans="1:19" x14ac:dyDescent="0.25">
      <c r="A766" t="s">
        <v>861</v>
      </c>
      <c r="B766" s="1">
        <v>44775</v>
      </c>
      <c r="C766" t="s">
        <v>44</v>
      </c>
      <c r="D766" t="s">
        <v>51</v>
      </c>
      <c r="E766" t="s">
        <v>63</v>
      </c>
      <c r="F766" t="s">
        <v>22</v>
      </c>
      <c r="G766" t="s">
        <v>46</v>
      </c>
      <c r="H766" t="s">
        <v>71</v>
      </c>
      <c r="I766" t="s">
        <v>25</v>
      </c>
      <c r="J766" t="s">
        <v>35</v>
      </c>
      <c r="K766" t="s">
        <v>27</v>
      </c>
      <c r="L766">
        <v>21.88</v>
      </c>
      <c r="M766">
        <v>8</v>
      </c>
      <c r="N766" s="2">
        <v>0</v>
      </c>
      <c r="O766">
        <v>175.04</v>
      </c>
      <c r="P766">
        <v>0</v>
      </c>
      <c r="Q766">
        <f>Sheet1__3_1_1_1[[#This Row],[Gross_Revenue]]-Sheet1__3_1_1_1[[#This Row],[Discount_Amount]]</f>
        <v>175.04</v>
      </c>
      <c r="R766">
        <v>96.27</v>
      </c>
      <c r="S766">
        <f>Sheet1__3_1_1_1[[#This Row],[Net_Revenue]]-Sheet1__3_1_1_1[[#This Row],[COGS]]</f>
        <v>78.77</v>
      </c>
    </row>
    <row r="767" spans="1:19" x14ac:dyDescent="0.25">
      <c r="A767" t="s">
        <v>862</v>
      </c>
      <c r="B767" s="1">
        <v>45011</v>
      </c>
      <c r="C767" t="s">
        <v>99</v>
      </c>
      <c r="D767" t="s">
        <v>100</v>
      </c>
      <c r="E767" t="s">
        <v>21</v>
      </c>
      <c r="F767" t="s">
        <v>31</v>
      </c>
      <c r="G767" t="s">
        <v>40</v>
      </c>
      <c r="H767" t="s">
        <v>57</v>
      </c>
      <c r="I767" t="s">
        <v>48</v>
      </c>
      <c r="J767" t="s">
        <v>26</v>
      </c>
      <c r="K767" t="s">
        <v>36</v>
      </c>
      <c r="L767">
        <v>237.82</v>
      </c>
      <c r="M767">
        <v>6</v>
      </c>
      <c r="N767" s="2">
        <v>0</v>
      </c>
      <c r="O767">
        <v>1426.92</v>
      </c>
      <c r="P767">
        <v>0</v>
      </c>
      <c r="Q767">
        <f>Sheet1__3_1_1_1[[#This Row],[Gross_Revenue]]-Sheet1__3_1_1_1[[#This Row],[Discount_Amount]]</f>
        <v>1426.92</v>
      </c>
      <c r="R767">
        <v>684.92</v>
      </c>
      <c r="S767">
        <f>Sheet1__3_1_1_1[[#This Row],[Net_Revenue]]-Sheet1__3_1_1_1[[#This Row],[COGS]]</f>
        <v>742.00000000000011</v>
      </c>
    </row>
    <row r="768" spans="1:19" x14ac:dyDescent="0.25">
      <c r="A768" t="s">
        <v>863</v>
      </c>
      <c r="B768" s="1">
        <v>44743</v>
      </c>
      <c r="C768" t="s">
        <v>44</v>
      </c>
      <c r="D768" t="s">
        <v>65</v>
      </c>
      <c r="E768" t="s">
        <v>21</v>
      </c>
      <c r="F768" t="s">
        <v>55</v>
      </c>
      <c r="G768" t="s">
        <v>83</v>
      </c>
      <c r="H768" t="s">
        <v>33</v>
      </c>
      <c r="I768" t="s">
        <v>34</v>
      </c>
      <c r="J768" t="s">
        <v>89</v>
      </c>
      <c r="K768" t="s">
        <v>36</v>
      </c>
      <c r="L768">
        <v>67.319999999999993</v>
      </c>
      <c r="M768">
        <v>2</v>
      </c>
      <c r="N768" s="2">
        <v>0</v>
      </c>
      <c r="O768">
        <v>134.63999999999999</v>
      </c>
      <c r="P768">
        <v>0</v>
      </c>
      <c r="Q768">
        <f>Sheet1__3_1_1_1[[#This Row],[Gross_Revenue]]-Sheet1__3_1_1_1[[#This Row],[Discount_Amount]]</f>
        <v>134.63999999999999</v>
      </c>
      <c r="R768">
        <v>56.55</v>
      </c>
      <c r="S768">
        <f>Sheet1__3_1_1_1[[#This Row],[Net_Revenue]]-Sheet1__3_1_1_1[[#This Row],[COGS]]</f>
        <v>78.089999999999989</v>
      </c>
    </row>
    <row r="769" spans="1:19" x14ac:dyDescent="0.25">
      <c r="A769" t="s">
        <v>864</v>
      </c>
      <c r="B769" s="1">
        <v>44860</v>
      </c>
      <c r="C769" t="s">
        <v>44</v>
      </c>
      <c r="D769" t="s">
        <v>51</v>
      </c>
      <c r="E769" t="s">
        <v>39</v>
      </c>
      <c r="F769" t="s">
        <v>69</v>
      </c>
      <c r="G769" t="s">
        <v>101</v>
      </c>
      <c r="H769" t="s">
        <v>111</v>
      </c>
      <c r="I769" t="s">
        <v>60</v>
      </c>
      <c r="J769" t="s">
        <v>94</v>
      </c>
      <c r="K769" t="s">
        <v>36</v>
      </c>
      <c r="L769">
        <v>7.14</v>
      </c>
      <c r="M769">
        <v>20</v>
      </c>
      <c r="N769" s="2">
        <v>0</v>
      </c>
      <c r="O769">
        <v>142.79999999999998</v>
      </c>
      <c r="P769">
        <v>0</v>
      </c>
      <c r="Q769">
        <f>Sheet1__3_1_1_1[[#This Row],[Gross_Revenue]]-Sheet1__3_1_1_1[[#This Row],[Discount_Amount]]</f>
        <v>142.79999999999998</v>
      </c>
      <c r="R769">
        <v>54.26</v>
      </c>
      <c r="S769">
        <f>Sheet1__3_1_1_1[[#This Row],[Net_Revenue]]-Sheet1__3_1_1_1[[#This Row],[COGS]]</f>
        <v>88.539999999999992</v>
      </c>
    </row>
    <row r="770" spans="1:19" x14ac:dyDescent="0.25">
      <c r="A770" t="s">
        <v>865</v>
      </c>
      <c r="B770" s="1">
        <v>44852</v>
      </c>
      <c r="C770" t="s">
        <v>44</v>
      </c>
      <c r="D770" t="s">
        <v>65</v>
      </c>
      <c r="E770" t="s">
        <v>63</v>
      </c>
      <c r="F770" t="s">
        <v>22</v>
      </c>
      <c r="G770" t="s">
        <v>23</v>
      </c>
      <c r="H770" t="s">
        <v>24</v>
      </c>
      <c r="I770" t="s">
        <v>48</v>
      </c>
      <c r="J770" t="s">
        <v>26</v>
      </c>
      <c r="K770" t="s">
        <v>143</v>
      </c>
      <c r="L770">
        <v>16.190000000000001</v>
      </c>
      <c r="M770">
        <v>21</v>
      </c>
      <c r="N770" s="2">
        <v>0.05</v>
      </c>
      <c r="O770">
        <v>339.99</v>
      </c>
      <c r="P770">
        <v>16.999500000000001</v>
      </c>
      <c r="Q770">
        <f>Sheet1__3_1_1_1[[#This Row],[Gross_Revenue]]-Sheet1__3_1_1_1[[#This Row],[Discount_Amount]]</f>
        <v>322.9905</v>
      </c>
      <c r="R770">
        <v>177.64</v>
      </c>
      <c r="S770">
        <f>Sheet1__3_1_1_1[[#This Row],[Net_Revenue]]-Sheet1__3_1_1_1[[#This Row],[COGS]]</f>
        <v>145.35050000000001</v>
      </c>
    </row>
    <row r="771" spans="1:19" x14ac:dyDescent="0.25">
      <c r="A771" t="s">
        <v>866</v>
      </c>
      <c r="B771" s="1">
        <v>45007</v>
      </c>
      <c r="C771" t="s">
        <v>19</v>
      </c>
      <c r="D771" t="s">
        <v>91</v>
      </c>
      <c r="E771" t="s">
        <v>21</v>
      </c>
      <c r="F771" t="s">
        <v>22</v>
      </c>
      <c r="G771" t="s">
        <v>149</v>
      </c>
      <c r="H771" t="s">
        <v>33</v>
      </c>
      <c r="I771" t="s">
        <v>48</v>
      </c>
      <c r="J771" t="s">
        <v>94</v>
      </c>
      <c r="K771" t="s">
        <v>36</v>
      </c>
      <c r="L771">
        <v>19.25</v>
      </c>
      <c r="N771" s="2">
        <v>0.1</v>
      </c>
      <c r="O771">
        <v>0</v>
      </c>
      <c r="P771">
        <v>0</v>
      </c>
      <c r="Q771">
        <f>Sheet1__3_1_1_1[[#This Row],[Gross_Revenue]]-Sheet1__3_1_1_1[[#This Row],[Discount_Amount]]</f>
        <v>0</v>
      </c>
      <c r="R771" t="s">
        <v>1147</v>
      </c>
      <c r="S771" t="e">
        <f>Sheet1__3_1_1_1[[#This Row],[Net_Revenue]]-Sheet1__3_1_1_1[[#This Row],[COGS]]</f>
        <v>#VALUE!</v>
      </c>
    </row>
    <row r="772" spans="1:19" x14ac:dyDescent="0.25">
      <c r="A772" t="s">
        <v>867</v>
      </c>
      <c r="B772" s="1">
        <v>44721</v>
      </c>
      <c r="C772" t="s">
        <v>77</v>
      </c>
      <c r="D772" t="s">
        <v>82</v>
      </c>
      <c r="E772" t="s">
        <v>66</v>
      </c>
      <c r="F772" t="s">
        <v>55</v>
      </c>
      <c r="G772" t="s">
        <v>120</v>
      </c>
      <c r="H772" t="s">
        <v>57</v>
      </c>
      <c r="I772" t="s">
        <v>25</v>
      </c>
      <c r="J772" t="s">
        <v>49</v>
      </c>
      <c r="K772" t="s">
        <v>53</v>
      </c>
      <c r="L772">
        <v>113.71</v>
      </c>
      <c r="M772">
        <v>3</v>
      </c>
      <c r="N772" s="2">
        <v>0</v>
      </c>
      <c r="O772">
        <v>341.13</v>
      </c>
      <c r="P772">
        <v>0</v>
      </c>
      <c r="Q772">
        <f>Sheet1__3_1_1_1[[#This Row],[Gross_Revenue]]-Sheet1__3_1_1_1[[#This Row],[Discount_Amount]]</f>
        <v>341.13</v>
      </c>
      <c r="R772">
        <v>143.27000000000001</v>
      </c>
      <c r="S772">
        <f>Sheet1__3_1_1_1[[#This Row],[Net_Revenue]]-Sheet1__3_1_1_1[[#This Row],[COGS]]</f>
        <v>197.85999999999999</v>
      </c>
    </row>
    <row r="773" spans="1:19" x14ac:dyDescent="0.25">
      <c r="A773" t="s">
        <v>868</v>
      </c>
      <c r="B773" s="1">
        <v>45069</v>
      </c>
      <c r="C773" t="s">
        <v>99</v>
      </c>
      <c r="D773" t="s">
        <v>132</v>
      </c>
      <c r="E773" t="s">
        <v>63</v>
      </c>
      <c r="F773" t="s">
        <v>31</v>
      </c>
      <c r="G773" t="s">
        <v>93</v>
      </c>
      <c r="H773" t="s">
        <v>52</v>
      </c>
      <c r="I773" t="s">
        <v>42</v>
      </c>
      <c r="J773" t="s">
        <v>89</v>
      </c>
      <c r="K773" t="s">
        <v>36</v>
      </c>
      <c r="L773">
        <v>124.28</v>
      </c>
      <c r="M773">
        <v>8</v>
      </c>
      <c r="N773" s="2">
        <v>0.15</v>
      </c>
      <c r="O773">
        <v>994.24</v>
      </c>
      <c r="P773">
        <v>149.136</v>
      </c>
      <c r="Q773">
        <f>Sheet1__3_1_1_1[[#This Row],[Gross_Revenue]]-Sheet1__3_1_1_1[[#This Row],[Discount_Amount]]</f>
        <v>845.10400000000004</v>
      </c>
      <c r="R773">
        <v>405.65</v>
      </c>
      <c r="S773">
        <f>Sheet1__3_1_1_1[[#This Row],[Net_Revenue]]-Sheet1__3_1_1_1[[#This Row],[COGS]]</f>
        <v>439.45400000000006</v>
      </c>
    </row>
    <row r="774" spans="1:19" x14ac:dyDescent="0.25">
      <c r="A774" t="s">
        <v>869</v>
      </c>
      <c r="B774" s="1">
        <v>45221</v>
      </c>
      <c r="C774" t="s">
        <v>99</v>
      </c>
      <c r="D774" t="s">
        <v>100</v>
      </c>
      <c r="E774" t="s">
        <v>66</v>
      </c>
      <c r="F774" t="s">
        <v>55</v>
      </c>
      <c r="G774" t="s">
        <v>103</v>
      </c>
      <c r="H774" t="s">
        <v>59</v>
      </c>
      <c r="I774" t="s">
        <v>48</v>
      </c>
      <c r="J774" t="s">
        <v>35</v>
      </c>
      <c r="K774" t="s">
        <v>53</v>
      </c>
      <c r="L774">
        <v>169.81</v>
      </c>
      <c r="M774">
        <v>2</v>
      </c>
      <c r="N774" s="2">
        <v>0.05</v>
      </c>
      <c r="O774">
        <v>339.62</v>
      </c>
      <c r="P774">
        <v>16.981000000000002</v>
      </c>
      <c r="Q774">
        <f>Sheet1__3_1_1_1[[#This Row],[Gross_Revenue]]-Sheet1__3_1_1_1[[#This Row],[Discount_Amount]]</f>
        <v>322.63900000000001</v>
      </c>
      <c r="R774">
        <v>135.51</v>
      </c>
      <c r="S774">
        <f>Sheet1__3_1_1_1[[#This Row],[Net_Revenue]]-Sheet1__3_1_1_1[[#This Row],[COGS]]</f>
        <v>187.12900000000002</v>
      </c>
    </row>
    <row r="775" spans="1:19" x14ac:dyDescent="0.25">
      <c r="A775" t="s">
        <v>870</v>
      </c>
      <c r="B775" s="1">
        <v>44706</v>
      </c>
      <c r="C775" t="s">
        <v>29</v>
      </c>
      <c r="D775" t="s">
        <v>30</v>
      </c>
      <c r="E775" t="s">
        <v>21</v>
      </c>
      <c r="F775" t="s">
        <v>22</v>
      </c>
      <c r="G775" t="s">
        <v>75</v>
      </c>
      <c r="H775" t="s">
        <v>111</v>
      </c>
      <c r="I775" t="s">
        <v>42</v>
      </c>
      <c r="J775" t="s">
        <v>35</v>
      </c>
      <c r="K775" t="s">
        <v>36</v>
      </c>
      <c r="L775">
        <v>9.3000000000000007</v>
      </c>
      <c r="M775">
        <v>23</v>
      </c>
      <c r="N775" s="2">
        <v>0.1</v>
      </c>
      <c r="O775">
        <v>213.9</v>
      </c>
      <c r="P775">
        <v>21.39</v>
      </c>
      <c r="Q775">
        <f>Sheet1__3_1_1_1[[#This Row],[Gross_Revenue]]-Sheet1__3_1_1_1[[#This Row],[Discount_Amount]]</f>
        <v>192.51</v>
      </c>
      <c r="R775">
        <v>105.88</v>
      </c>
      <c r="S775">
        <f>Sheet1__3_1_1_1[[#This Row],[Net_Revenue]]-Sheet1__3_1_1_1[[#This Row],[COGS]]</f>
        <v>86.63</v>
      </c>
    </row>
    <row r="776" spans="1:19" x14ac:dyDescent="0.25">
      <c r="A776" t="s">
        <v>871</v>
      </c>
      <c r="B776" s="1">
        <v>44914</v>
      </c>
      <c r="C776" t="s">
        <v>99</v>
      </c>
      <c r="D776" t="s">
        <v>148</v>
      </c>
      <c r="E776" t="s">
        <v>66</v>
      </c>
      <c r="F776" t="s">
        <v>79</v>
      </c>
      <c r="G776" t="s">
        <v>96</v>
      </c>
      <c r="H776" t="s">
        <v>111</v>
      </c>
      <c r="I776" t="s">
        <v>25</v>
      </c>
      <c r="J776" t="s">
        <v>49</v>
      </c>
      <c r="K776" t="s">
        <v>36</v>
      </c>
      <c r="L776">
        <v>477.14</v>
      </c>
      <c r="M776">
        <v>4</v>
      </c>
      <c r="N776" s="2">
        <v>0.15</v>
      </c>
      <c r="O776">
        <v>1908.56</v>
      </c>
      <c r="P776">
        <v>286.28399999999999</v>
      </c>
      <c r="Q776">
        <f>Sheet1__3_1_1_1[[#This Row],[Gross_Revenue]]-Sheet1__3_1_1_1[[#This Row],[Discount_Amount]]</f>
        <v>1622.2759999999998</v>
      </c>
      <c r="R776">
        <v>1005.81</v>
      </c>
      <c r="S776">
        <f>Sheet1__3_1_1_1[[#This Row],[Net_Revenue]]-Sheet1__3_1_1_1[[#This Row],[COGS]]</f>
        <v>616.46599999999989</v>
      </c>
    </row>
    <row r="777" spans="1:19" x14ac:dyDescent="0.25">
      <c r="A777" t="s">
        <v>872</v>
      </c>
      <c r="B777" s="1">
        <v>44955</v>
      </c>
      <c r="C777" t="s">
        <v>29</v>
      </c>
      <c r="D777" t="s">
        <v>30</v>
      </c>
      <c r="E777" t="s">
        <v>63</v>
      </c>
      <c r="F777" t="s">
        <v>31</v>
      </c>
      <c r="G777" t="s">
        <v>40</v>
      </c>
      <c r="H777" t="s">
        <v>59</v>
      </c>
      <c r="I777" t="s">
        <v>34</v>
      </c>
      <c r="J777" t="s">
        <v>26</v>
      </c>
      <c r="K777" t="s">
        <v>36</v>
      </c>
      <c r="L777">
        <v>241.18</v>
      </c>
      <c r="M777">
        <v>2</v>
      </c>
      <c r="N777" s="2">
        <v>0</v>
      </c>
      <c r="O777">
        <v>482.36</v>
      </c>
      <c r="P777">
        <v>0</v>
      </c>
      <c r="Q777">
        <f>Sheet1__3_1_1_1[[#This Row],[Gross_Revenue]]-Sheet1__3_1_1_1[[#This Row],[Discount_Amount]]</f>
        <v>482.36</v>
      </c>
      <c r="R777">
        <v>231.53</v>
      </c>
      <c r="S777">
        <f>Sheet1__3_1_1_1[[#This Row],[Net_Revenue]]-Sheet1__3_1_1_1[[#This Row],[COGS]]</f>
        <v>250.83</v>
      </c>
    </row>
    <row r="778" spans="1:19" x14ac:dyDescent="0.25">
      <c r="A778" t="s">
        <v>873</v>
      </c>
      <c r="B778" s="1">
        <v>44705</v>
      </c>
      <c r="C778" t="s">
        <v>99</v>
      </c>
      <c r="D778" t="s">
        <v>100</v>
      </c>
      <c r="E778" t="s">
        <v>63</v>
      </c>
      <c r="F778" t="s">
        <v>22</v>
      </c>
      <c r="G778" t="s">
        <v>113</v>
      </c>
      <c r="H778" t="s">
        <v>71</v>
      </c>
      <c r="I778" t="s">
        <v>60</v>
      </c>
      <c r="J778" t="s">
        <v>35</v>
      </c>
      <c r="K778" t="s">
        <v>53</v>
      </c>
      <c r="L778">
        <v>13.9</v>
      </c>
      <c r="M778">
        <v>21</v>
      </c>
      <c r="N778" s="2">
        <v>0</v>
      </c>
      <c r="O778">
        <v>291.90000000000003</v>
      </c>
      <c r="P778">
        <v>0</v>
      </c>
      <c r="Q778">
        <f>Sheet1__3_1_1_1[[#This Row],[Gross_Revenue]]-Sheet1__3_1_1_1[[#This Row],[Discount_Amount]]</f>
        <v>291.90000000000003</v>
      </c>
      <c r="R778">
        <v>160.54</v>
      </c>
      <c r="S778">
        <f>Sheet1__3_1_1_1[[#This Row],[Net_Revenue]]-Sheet1__3_1_1_1[[#This Row],[COGS]]</f>
        <v>131.36000000000004</v>
      </c>
    </row>
    <row r="779" spans="1:19" x14ac:dyDescent="0.25">
      <c r="A779" t="s">
        <v>874</v>
      </c>
      <c r="B779" s="1">
        <v>44842</v>
      </c>
      <c r="C779" t="s">
        <v>99</v>
      </c>
      <c r="D779" t="s">
        <v>132</v>
      </c>
      <c r="E779" t="s">
        <v>39</v>
      </c>
      <c r="F779" t="s">
        <v>22</v>
      </c>
      <c r="G779" t="s">
        <v>23</v>
      </c>
      <c r="H779" t="s">
        <v>108</v>
      </c>
      <c r="I779" t="s">
        <v>34</v>
      </c>
      <c r="J779" t="s">
        <v>35</v>
      </c>
      <c r="K779" t="s">
        <v>27</v>
      </c>
      <c r="L779">
        <v>16.55</v>
      </c>
      <c r="M779">
        <v>13</v>
      </c>
      <c r="N779" s="2">
        <v>0.05</v>
      </c>
      <c r="O779">
        <v>215.15</v>
      </c>
      <c r="P779">
        <v>10.7575</v>
      </c>
      <c r="Q779">
        <f>Sheet1__3_1_1_1[[#This Row],[Gross_Revenue]]-Sheet1__3_1_1_1[[#This Row],[Discount_Amount]]</f>
        <v>204.39250000000001</v>
      </c>
      <c r="R779">
        <v>112.41</v>
      </c>
      <c r="S779">
        <f>Sheet1__3_1_1_1[[#This Row],[Net_Revenue]]-Sheet1__3_1_1_1[[#This Row],[COGS]]</f>
        <v>91.982500000000016</v>
      </c>
    </row>
    <row r="780" spans="1:19" x14ac:dyDescent="0.25">
      <c r="A780" t="s">
        <v>875</v>
      </c>
      <c r="B780" s="1">
        <v>44716</v>
      </c>
      <c r="C780" t="s">
        <v>44</v>
      </c>
      <c r="D780" t="s">
        <v>65</v>
      </c>
      <c r="E780" t="s">
        <v>21</v>
      </c>
      <c r="F780" t="s">
        <v>31</v>
      </c>
      <c r="G780" t="s">
        <v>40</v>
      </c>
      <c r="H780" t="s">
        <v>111</v>
      </c>
      <c r="I780" t="s">
        <v>25</v>
      </c>
      <c r="J780" t="s">
        <v>94</v>
      </c>
      <c r="K780" t="s">
        <v>36</v>
      </c>
      <c r="L780">
        <v>216.68</v>
      </c>
      <c r="M780">
        <v>1</v>
      </c>
      <c r="N780" s="2">
        <v>0.05</v>
      </c>
      <c r="O780">
        <v>216.68</v>
      </c>
      <c r="P780">
        <v>10.834000000000001</v>
      </c>
      <c r="Q780">
        <f>Sheet1__3_1_1_1[[#This Row],[Gross_Revenue]]-Sheet1__3_1_1_1[[#This Row],[Discount_Amount]]</f>
        <v>205.846</v>
      </c>
      <c r="R780">
        <v>98.81</v>
      </c>
      <c r="S780">
        <f>Sheet1__3_1_1_1[[#This Row],[Net_Revenue]]-Sheet1__3_1_1_1[[#This Row],[COGS]]</f>
        <v>107.036</v>
      </c>
    </row>
    <row r="781" spans="1:19" x14ac:dyDescent="0.25">
      <c r="A781" t="s">
        <v>876</v>
      </c>
      <c r="B781" s="1">
        <v>44951</v>
      </c>
      <c r="C781" t="s">
        <v>44</v>
      </c>
      <c r="D781" t="s">
        <v>51</v>
      </c>
      <c r="E781" t="s">
        <v>39</v>
      </c>
      <c r="F781" t="s">
        <v>79</v>
      </c>
      <c r="G781" t="s">
        <v>96</v>
      </c>
      <c r="H781" t="s">
        <v>111</v>
      </c>
      <c r="I781" t="s">
        <v>48</v>
      </c>
      <c r="J781" t="s">
        <v>89</v>
      </c>
      <c r="K781" t="s">
        <v>36</v>
      </c>
      <c r="L781">
        <v>496.78</v>
      </c>
      <c r="M781">
        <v>6</v>
      </c>
      <c r="N781" s="2">
        <v>0.2</v>
      </c>
      <c r="O781">
        <v>2980.68</v>
      </c>
      <c r="P781">
        <v>596.13599999999997</v>
      </c>
      <c r="Q781">
        <f>Sheet1__3_1_1_1[[#This Row],[Gross_Revenue]]-Sheet1__3_1_1_1[[#This Row],[Discount_Amount]]</f>
        <v>2384.5439999999999</v>
      </c>
      <c r="R781">
        <v>1478.41</v>
      </c>
      <c r="S781">
        <f>Sheet1__3_1_1_1[[#This Row],[Net_Revenue]]-Sheet1__3_1_1_1[[#This Row],[COGS]]</f>
        <v>906.13399999999979</v>
      </c>
    </row>
    <row r="782" spans="1:19" x14ac:dyDescent="0.25">
      <c r="A782" t="s">
        <v>877</v>
      </c>
      <c r="B782" s="1">
        <v>45142</v>
      </c>
      <c r="C782" t="s">
        <v>99</v>
      </c>
      <c r="D782" t="s">
        <v>100</v>
      </c>
      <c r="E782" t="s">
        <v>66</v>
      </c>
      <c r="F782" t="s">
        <v>69</v>
      </c>
      <c r="G782" t="s">
        <v>190</v>
      </c>
      <c r="H782" t="s">
        <v>87</v>
      </c>
      <c r="I782" t="s">
        <v>25</v>
      </c>
      <c r="J782" t="s">
        <v>26</v>
      </c>
      <c r="K782" t="s">
        <v>27</v>
      </c>
      <c r="L782">
        <v>15.8</v>
      </c>
      <c r="M782">
        <v>5</v>
      </c>
      <c r="N782" s="2">
        <v>0.05</v>
      </c>
      <c r="O782">
        <v>79</v>
      </c>
      <c r="P782">
        <v>3.95</v>
      </c>
      <c r="Q782">
        <f>Sheet1__3_1_1_1[[#This Row],[Gross_Revenue]]-Sheet1__3_1_1_1[[#This Row],[Discount_Amount]]</f>
        <v>75.05</v>
      </c>
      <c r="R782">
        <v>28.52</v>
      </c>
      <c r="S782">
        <f>Sheet1__3_1_1_1[[#This Row],[Net_Revenue]]-Sheet1__3_1_1_1[[#This Row],[COGS]]</f>
        <v>46.53</v>
      </c>
    </row>
    <row r="783" spans="1:19" x14ac:dyDescent="0.25">
      <c r="A783" t="s">
        <v>878</v>
      </c>
      <c r="B783" s="1">
        <v>44901</v>
      </c>
      <c r="C783" t="s">
        <v>99</v>
      </c>
      <c r="D783" t="s">
        <v>132</v>
      </c>
      <c r="E783" t="s">
        <v>21</v>
      </c>
      <c r="F783" t="s">
        <v>55</v>
      </c>
      <c r="G783" t="s">
        <v>120</v>
      </c>
      <c r="H783" t="s">
        <v>41</v>
      </c>
      <c r="I783" t="s">
        <v>34</v>
      </c>
      <c r="J783" t="s">
        <v>26</v>
      </c>
      <c r="K783" t="s">
        <v>36</v>
      </c>
      <c r="L783">
        <v>105.84</v>
      </c>
      <c r="M783">
        <v>8</v>
      </c>
      <c r="N783" s="2">
        <v>0.2</v>
      </c>
      <c r="O783">
        <v>846.72</v>
      </c>
      <c r="P783">
        <v>169.34400000000002</v>
      </c>
      <c r="Q783">
        <f>Sheet1__3_1_1_1[[#This Row],[Gross_Revenue]]-Sheet1__3_1_1_1[[#This Row],[Discount_Amount]]</f>
        <v>677.37599999999998</v>
      </c>
      <c r="R783">
        <v>284.5</v>
      </c>
      <c r="S783">
        <f>Sheet1__3_1_1_1[[#This Row],[Net_Revenue]]-Sheet1__3_1_1_1[[#This Row],[COGS]]</f>
        <v>392.87599999999998</v>
      </c>
    </row>
    <row r="784" spans="1:19" x14ac:dyDescent="0.25">
      <c r="A784" t="s">
        <v>879</v>
      </c>
      <c r="B784" s="1">
        <v>45051</v>
      </c>
      <c r="C784" t="s">
        <v>44</v>
      </c>
      <c r="D784" t="s">
        <v>51</v>
      </c>
      <c r="E784" t="s">
        <v>63</v>
      </c>
      <c r="F784" t="s">
        <v>79</v>
      </c>
      <c r="G784" t="s">
        <v>56</v>
      </c>
      <c r="H784" t="s">
        <v>111</v>
      </c>
      <c r="I784" t="s">
        <v>25</v>
      </c>
      <c r="J784" t="s">
        <v>26</v>
      </c>
      <c r="K784" t="s">
        <v>36</v>
      </c>
      <c r="L784">
        <v>42.85</v>
      </c>
      <c r="M784">
        <v>8</v>
      </c>
      <c r="N784" s="2">
        <v>0.2</v>
      </c>
      <c r="O784">
        <v>342.8</v>
      </c>
      <c r="P784">
        <v>68.56</v>
      </c>
      <c r="Q784">
        <f>Sheet1__3_1_1_1[[#This Row],[Gross_Revenue]]-Sheet1__3_1_1_1[[#This Row],[Discount_Amount]]</f>
        <v>274.24</v>
      </c>
      <c r="R784">
        <v>170.03</v>
      </c>
      <c r="S784">
        <f>Sheet1__3_1_1_1[[#This Row],[Net_Revenue]]-Sheet1__3_1_1_1[[#This Row],[COGS]]</f>
        <v>104.21000000000001</v>
      </c>
    </row>
    <row r="785" spans="1:19" x14ac:dyDescent="0.25">
      <c r="A785" t="s">
        <v>880</v>
      </c>
      <c r="B785" s="1">
        <v>45061</v>
      </c>
      <c r="C785" t="s">
        <v>19</v>
      </c>
      <c r="D785" t="s">
        <v>20</v>
      </c>
      <c r="E785" t="s">
        <v>39</v>
      </c>
      <c r="F785" t="s">
        <v>79</v>
      </c>
      <c r="G785" t="s">
        <v>85</v>
      </c>
      <c r="H785" t="s">
        <v>87</v>
      </c>
      <c r="I785" t="s">
        <v>25</v>
      </c>
      <c r="J785" t="s">
        <v>26</v>
      </c>
      <c r="K785" t="s">
        <v>36</v>
      </c>
      <c r="L785">
        <v>796.56</v>
      </c>
      <c r="M785">
        <v>7</v>
      </c>
      <c r="N785" s="2">
        <v>0.2</v>
      </c>
      <c r="O785">
        <v>5575.92</v>
      </c>
      <c r="P785">
        <v>1115.184</v>
      </c>
      <c r="Q785">
        <f>Sheet1__3_1_1_1[[#This Row],[Gross_Revenue]]-Sheet1__3_1_1_1[[#This Row],[Discount_Amount]]</f>
        <v>4460.7359999999999</v>
      </c>
      <c r="R785">
        <v>2765.66</v>
      </c>
      <c r="S785">
        <f>Sheet1__3_1_1_1[[#This Row],[Net_Revenue]]-Sheet1__3_1_1_1[[#This Row],[COGS]]</f>
        <v>1695.076</v>
      </c>
    </row>
    <row r="786" spans="1:19" x14ac:dyDescent="0.25">
      <c r="A786" t="s">
        <v>881</v>
      </c>
      <c r="B786" s="1">
        <v>45048</v>
      </c>
      <c r="C786" t="s">
        <v>99</v>
      </c>
      <c r="D786" t="s">
        <v>148</v>
      </c>
      <c r="E786" t="s">
        <v>63</v>
      </c>
      <c r="F786" t="s">
        <v>31</v>
      </c>
      <c r="G786" t="s">
        <v>93</v>
      </c>
      <c r="H786" t="s">
        <v>108</v>
      </c>
      <c r="I786" t="s">
        <v>42</v>
      </c>
      <c r="J786" t="s">
        <v>26</v>
      </c>
      <c r="K786" t="s">
        <v>36</v>
      </c>
      <c r="L786">
        <v>166.12</v>
      </c>
      <c r="M786">
        <v>1</v>
      </c>
      <c r="N786" s="2">
        <v>0.15</v>
      </c>
      <c r="O786">
        <v>166.12</v>
      </c>
      <c r="P786">
        <v>24.917999999999999</v>
      </c>
      <c r="Q786">
        <f>Sheet1__3_1_1_1[[#This Row],[Gross_Revenue]]-Sheet1__3_1_1_1[[#This Row],[Discount_Amount]]</f>
        <v>141.202</v>
      </c>
      <c r="R786">
        <v>67.78</v>
      </c>
      <c r="S786">
        <f>Sheet1__3_1_1_1[[#This Row],[Net_Revenue]]-Sheet1__3_1_1_1[[#This Row],[COGS]]</f>
        <v>73.421999999999997</v>
      </c>
    </row>
    <row r="787" spans="1:19" x14ac:dyDescent="0.25">
      <c r="A787" t="s">
        <v>882</v>
      </c>
      <c r="B787" s="1">
        <v>45143</v>
      </c>
      <c r="C787" t="s">
        <v>99</v>
      </c>
      <c r="D787" t="s">
        <v>148</v>
      </c>
      <c r="E787" t="s">
        <v>21</v>
      </c>
      <c r="F787" t="s">
        <v>31</v>
      </c>
      <c r="G787" t="s">
        <v>122</v>
      </c>
      <c r="H787" t="s">
        <v>33</v>
      </c>
      <c r="I787" t="s">
        <v>25</v>
      </c>
      <c r="J787" t="s">
        <v>89</v>
      </c>
      <c r="K787" t="s">
        <v>53</v>
      </c>
      <c r="L787">
        <v>509.71</v>
      </c>
      <c r="M787">
        <v>6</v>
      </c>
      <c r="N787" s="2">
        <v>0.2</v>
      </c>
      <c r="O787">
        <v>3058.2599999999998</v>
      </c>
      <c r="P787">
        <v>611.65199999999993</v>
      </c>
      <c r="Q787">
        <f>Sheet1__3_1_1_1[[#This Row],[Gross_Revenue]]-Sheet1__3_1_1_1[[#This Row],[Discount_Amount]]</f>
        <v>2446.6079999999997</v>
      </c>
      <c r="R787">
        <v>1174.3699999999999</v>
      </c>
      <c r="S787">
        <f>Sheet1__3_1_1_1[[#This Row],[Net_Revenue]]-Sheet1__3_1_1_1[[#This Row],[COGS]]</f>
        <v>1272.2379999999998</v>
      </c>
    </row>
    <row r="788" spans="1:19" x14ac:dyDescent="0.25">
      <c r="A788" t="s">
        <v>883</v>
      </c>
      <c r="B788" s="1">
        <v>45015</v>
      </c>
      <c r="C788" t="s">
        <v>44</v>
      </c>
      <c r="D788" t="s">
        <v>51</v>
      </c>
      <c r="E788" t="s">
        <v>39</v>
      </c>
      <c r="F788" t="s">
        <v>22</v>
      </c>
      <c r="G788" t="s">
        <v>113</v>
      </c>
      <c r="H788" t="s">
        <v>47</v>
      </c>
      <c r="I788" t="s">
        <v>25</v>
      </c>
      <c r="J788" t="s">
        <v>35</v>
      </c>
      <c r="K788" t="s">
        <v>143</v>
      </c>
      <c r="L788">
        <v>12.36</v>
      </c>
      <c r="M788">
        <v>25</v>
      </c>
      <c r="N788" s="2">
        <v>0</v>
      </c>
      <c r="O788">
        <v>309</v>
      </c>
      <c r="P788">
        <v>0</v>
      </c>
      <c r="Q788">
        <f>Sheet1__3_1_1_1[[#This Row],[Gross_Revenue]]-Sheet1__3_1_1_1[[#This Row],[Discount_Amount]]</f>
        <v>309</v>
      </c>
      <c r="R788">
        <v>169.95</v>
      </c>
      <c r="S788">
        <f>Sheet1__3_1_1_1[[#This Row],[Net_Revenue]]-Sheet1__3_1_1_1[[#This Row],[COGS]]</f>
        <v>139.05000000000001</v>
      </c>
    </row>
    <row r="789" spans="1:19" x14ac:dyDescent="0.25">
      <c r="A789" t="s">
        <v>884</v>
      </c>
      <c r="B789" s="1">
        <v>44933</v>
      </c>
      <c r="C789" t="s">
        <v>99</v>
      </c>
      <c r="D789" t="s">
        <v>148</v>
      </c>
      <c r="E789" t="s">
        <v>63</v>
      </c>
      <c r="F789" t="s">
        <v>22</v>
      </c>
      <c r="G789" t="s">
        <v>75</v>
      </c>
      <c r="H789" t="s">
        <v>41</v>
      </c>
      <c r="I789" t="s">
        <v>60</v>
      </c>
      <c r="J789" t="s">
        <v>26</v>
      </c>
      <c r="K789" t="s">
        <v>36</v>
      </c>
      <c r="L789">
        <v>9.39</v>
      </c>
      <c r="M789">
        <v>28</v>
      </c>
      <c r="N789" s="2">
        <v>0.15</v>
      </c>
      <c r="O789">
        <v>262.92</v>
      </c>
      <c r="P789">
        <v>39.438000000000002</v>
      </c>
      <c r="Q789">
        <f>Sheet1__3_1_1_1[[#This Row],[Gross_Revenue]]-Sheet1__3_1_1_1[[#This Row],[Discount_Amount]]</f>
        <v>223.48200000000003</v>
      </c>
      <c r="R789">
        <v>122.91</v>
      </c>
      <c r="S789">
        <f>Sheet1__3_1_1_1[[#This Row],[Net_Revenue]]-Sheet1__3_1_1_1[[#This Row],[COGS]]</f>
        <v>100.57200000000003</v>
      </c>
    </row>
    <row r="790" spans="1:19" x14ac:dyDescent="0.25">
      <c r="A790" t="s">
        <v>885</v>
      </c>
      <c r="B790" s="1">
        <v>45023</v>
      </c>
      <c r="C790" t="s">
        <v>44</v>
      </c>
      <c r="D790" t="s">
        <v>45</v>
      </c>
      <c r="E790" t="s">
        <v>39</v>
      </c>
      <c r="F790" t="s">
        <v>55</v>
      </c>
      <c r="G790" t="s">
        <v>120</v>
      </c>
      <c r="H790" t="s">
        <v>47</v>
      </c>
      <c r="I790" t="s">
        <v>42</v>
      </c>
      <c r="J790" t="s">
        <v>49</v>
      </c>
      <c r="K790" t="s">
        <v>36</v>
      </c>
      <c r="L790">
        <v>116.9</v>
      </c>
      <c r="M790">
        <v>7</v>
      </c>
      <c r="N790" s="2">
        <v>0.2</v>
      </c>
      <c r="O790">
        <v>818.30000000000007</v>
      </c>
      <c r="P790">
        <v>163.66000000000003</v>
      </c>
      <c r="Q790">
        <f>Sheet1__3_1_1_1[[#This Row],[Gross_Revenue]]-Sheet1__3_1_1_1[[#This Row],[Discount_Amount]]</f>
        <v>654.6400000000001</v>
      </c>
      <c r="R790">
        <v>274.95</v>
      </c>
      <c r="S790">
        <f>Sheet1__3_1_1_1[[#This Row],[Net_Revenue]]-Sheet1__3_1_1_1[[#This Row],[COGS]]</f>
        <v>379.69000000000011</v>
      </c>
    </row>
    <row r="791" spans="1:19" x14ac:dyDescent="0.25">
      <c r="A791" t="s">
        <v>886</v>
      </c>
      <c r="B791" s="1">
        <v>44686</v>
      </c>
      <c r="C791" t="s">
        <v>77</v>
      </c>
      <c r="D791" t="s">
        <v>78</v>
      </c>
      <c r="E791" t="s">
        <v>39</v>
      </c>
      <c r="F791" t="s">
        <v>22</v>
      </c>
      <c r="G791" t="s">
        <v>149</v>
      </c>
      <c r="H791" t="s">
        <v>41</v>
      </c>
      <c r="I791" t="s">
        <v>60</v>
      </c>
      <c r="J791" t="s">
        <v>49</v>
      </c>
      <c r="K791" t="s">
        <v>36</v>
      </c>
      <c r="L791">
        <v>26.01</v>
      </c>
      <c r="M791">
        <v>22</v>
      </c>
      <c r="N791" s="2">
        <v>0.05</v>
      </c>
      <c r="O791">
        <v>572.22</v>
      </c>
      <c r="P791">
        <v>28.611000000000004</v>
      </c>
      <c r="Q791">
        <f>Sheet1__3_1_1_1[[#This Row],[Gross_Revenue]]-Sheet1__3_1_1_1[[#This Row],[Discount_Amount]]</f>
        <v>543.60900000000004</v>
      </c>
      <c r="R791">
        <v>298.99</v>
      </c>
      <c r="S791">
        <f>Sheet1__3_1_1_1[[#This Row],[Net_Revenue]]-Sheet1__3_1_1_1[[#This Row],[COGS]]</f>
        <v>244.61900000000003</v>
      </c>
    </row>
    <row r="792" spans="1:19" x14ac:dyDescent="0.25">
      <c r="A792" t="s">
        <v>887</v>
      </c>
      <c r="B792" s="1">
        <v>44693</v>
      </c>
      <c r="C792" t="s">
        <v>29</v>
      </c>
      <c r="D792" t="s">
        <v>30</v>
      </c>
      <c r="E792" t="s">
        <v>39</v>
      </c>
      <c r="F792" t="s">
        <v>69</v>
      </c>
      <c r="G792" t="s">
        <v>190</v>
      </c>
      <c r="H792" t="s">
        <v>47</v>
      </c>
      <c r="I792" t="s">
        <v>42</v>
      </c>
      <c r="J792" t="s">
        <v>35</v>
      </c>
      <c r="K792" t="s">
        <v>36</v>
      </c>
      <c r="L792">
        <v>18.899999999999999</v>
      </c>
      <c r="M792">
        <v>2</v>
      </c>
      <c r="N792" s="2">
        <v>0</v>
      </c>
      <c r="O792">
        <v>37.799999999999997</v>
      </c>
      <c r="P792">
        <v>0</v>
      </c>
      <c r="Q792">
        <f>Sheet1__3_1_1_1[[#This Row],[Gross_Revenue]]-Sheet1__3_1_1_1[[#This Row],[Discount_Amount]]</f>
        <v>37.799999999999997</v>
      </c>
      <c r="R792">
        <v>14.36</v>
      </c>
      <c r="S792">
        <f>Sheet1__3_1_1_1[[#This Row],[Net_Revenue]]-Sheet1__3_1_1_1[[#This Row],[COGS]]</f>
        <v>23.439999999999998</v>
      </c>
    </row>
    <row r="793" spans="1:19" x14ac:dyDescent="0.25">
      <c r="A793" t="s">
        <v>888</v>
      </c>
      <c r="B793" s="1">
        <v>45204</v>
      </c>
      <c r="C793" t="s">
        <v>19</v>
      </c>
      <c r="D793" t="s">
        <v>20</v>
      </c>
      <c r="E793" t="s">
        <v>39</v>
      </c>
      <c r="F793" t="s">
        <v>31</v>
      </c>
      <c r="G793" t="s">
        <v>93</v>
      </c>
      <c r="H793" t="s">
        <v>59</v>
      </c>
      <c r="I793" t="s">
        <v>34</v>
      </c>
      <c r="J793" t="s">
        <v>49</v>
      </c>
      <c r="K793" t="s">
        <v>36</v>
      </c>
      <c r="L793">
        <v>119.65</v>
      </c>
      <c r="M793">
        <v>3</v>
      </c>
      <c r="N793" s="2">
        <v>0</v>
      </c>
      <c r="O793">
        <v>358.95000000000005</v>
      </c>
      <c r="P793">
        <v>0</v>
      </c>
      <c r="Q793">
        <f>Sheet1__3_1_1_1[[#This Row],[Gross_Revenue]]-Sheet1__3_1_1_1[[#This Row],[Discount_Amount]]</f>
        <v>358.95000000000005</v>
      </c>
      <c r="R793">
        <v>172.3</v>
      </c>
      <c r="S793">
        <f>Sheet1__3_1_1_1[[#This Row],[Net_Revenue]]-Sheet1__3_1_1_1[[#This Row],[COGS]]</f>
        <v>186.65000000000003</v>
      </c>
    </row>
    <row r="794" spans="1:19" x14ac:dyDescent="0.25">
      <c r="A794" t="s">
        <v>889</v>
      </c>
      <c r="B794" s="1">
        <v>45070</v>
      </c>
      <c r="C794" t="s">
        <v>44</v>
      </c>
      <c r="D794" t="s">
        <v>65</v>
      </c>
      <c r="E794" t="s">
        <v>39</v>
      </c>
      <c r="F794" t="s">
        <v>69</v>
      </c>
      <c r="G794" t="s">
        <v>101</v>
      </c>
      <c r="H794" t="s">
        <v>106</v>
      </c>
      <c r="I794" t="s">
        <v>42</v>
      </c>
      <c r="J794" t="s">
        <v>35</v>
      </c>
      <c r="K794" t="s">
        <v>143</v>
      </c>
      <c r="L794">
        <v>9.39</v>
      </c>
      <c r="M794">
        <v>12</v>
      </c>
      <c r="N794" s="2">
        <v>0.1</v>
      </c>
      <c r="O794">
        <v>112.68</v>
      </c>
      <c r="P794">
        <v>11.268000000000001</v>
      </c>
      <c r="Q794">
        <f>Sheet1__3_1_1_1[[#This Row],[Gross_Revenue]]-Sheet1__3_1_1_1[[#This Row],[Discount_Amount]]</f>
        <v>101.41200000000001</v>
      </c>
      <c r="R794">
        <v>38.54</v>
      </c>
      <c r="S794">
        <f>Sheet1__3_1_1_1[[#This Row],[Net_Revenue]]-Sheet1__3_1_1_1[[#This Row],[COGS]]</f>
        <v>62.872000000000007</v>
      </c>
    </row>
    <row r="795" spans="1:19" x14ac:dyDescent="0.25">
      <c r="A795" t="s">
        <v>890</v>
      </c>
      <c r="B795" s="1">
        <v>44653</v>
      </c>
      <c r="C795" t="s">
        <v>19</v>
      </c>
      <c r="D795" t="s">
        <v>20</v>
      </c>
      <c r="E795" t="s">
        <v>21</v>
      </c>
      <c r="F795" t="s">
        <v>79</v>
      </c>
      <c r="G795" t="s">
        <v>172</v>
      </c>
      <c r="H795" t="s">
        <v>33</v>
      </c>
      <c r="I795" t="s">
        <v>42</v>
      </c>
      <c r="J795" t="s">
        <v>94</v>
      </c>
      <c r="K795" t="s">
        <v>36</v>
      </c>
      <c r="L795">
        <v>355.43</v>
      </c>
      <c r="M795">
        <v>2</v>
      </c>
      <c r="N795" s="2">
        <v>0.15</v>
      </c>
      <c r="O795">
        <v>710.86</v>
      </c>
      <c r="P795">
        <v>106.629</v>
      </c>
      <c r="Q795">
        <f>Sheet1__3_1_1_1[[#This Row],[Gross_Revenue]]-Sheet1__3_1_1_1[[#This Row],[Discount_Amount]]</f>
        <v>604.23099999999999</v>
      </c>
      <c r="R795">
        <v>374.62</v>
      </c>
      <c r="S795">
        <f>Sheet1__3_1_1_1[[#This Row],[Net_Revenue]]-Sheet1__3_1_1_1[[#This Row],[COGS]]</f>
        <v>229.61099999999999</v>
      </c>
    </row>
    <row r="796" spans="1:19" x14ac:dyDescent="0.25">
      <c r="A796" t="s">
        <v>891</v>
      </c>
      <c r="B796" s="1">
        <v>45077</v>
      </c>
      <c r="C796" t="s">
        <v>29</v>
      </c>
      <c r="D796" t="s">
        <v>38</v>
      </c>
      <c r="E796" t="s">
        <v>66</v>
      </c>
      <c r="F796" t="s">
        <v>69</v>
      </c>
      <c r="G796" t="s">
        <v>70</v>
      </c>
      <c r="H796" t="s">
        <v>24</v>
      </c>
      <c r="I796" t="s">
        <v>48</v>
      </c>
      <c r="J796" t="s">
        <v>35</v>
      </c>
      <c r="K796" t="s">
        <v>36</v>
      </c>
      <c r="L796">
        <v>334.25</v>
      </c>
      <c r="M796">
        <v>11</v>
      </c>
      <c r="N796" s="2">
        <v>0.2</v>
      </c>
      <c r="O796">
        <v>3676.75</v>
      </c>
      <c r="P796">
        <v>735.35</v>
      </c>
      <c r="Q796">
        <f>Sheet1__3_1_1_1[[#This Row],[Gross_Revenue]]-Sheet1__3_1_1_1[[#This Row],[Discount_Amount]]</f>
        <v>2941.4</v>
      </c>
      <c r="R796">
        <v>1117.73</v>
      </c>
      <c r="S796">
        <f>Sheet1__3_1_1_1[[#This Row],[Net_Revenue]]-Sheet1__3_1_1_1[[#This Row],[COGS]]</f>
        <v>1823.67</v>
      </c>
    </row>
    <row r="797" spans="1:19" x14ac:dyDescent="0.25">
      <c r="A797" t="s">
        <v>892</v>
      </c>
      <c r="B797" s="1">
        <v>44761</v>
      </c>
      <c r="C797" t="s">
        <v>99</v>
      </c>
      <c r="D797" t="s">
        <v>100</v>
      </c>
      <c r="E797" t="s">
        <v>21</v>
      </c>
      <c r="F797" t="s">
        <v>22</v>
      </c>
      <c r="G797" t="s">
        <v>75</v>
      </c>
      <c r="H797" t="s">
        <v>111</v>
      </c>
      <c r="I797" t="s">
        <v>60</v>
      </c>
      <c r="J797" t="s">
        <v>94</v>
      </c>
      <c r="K797" t="s">
        <v>36</v>
      </c>
      <c r="L797">
        <v>11.83</v>
      </c>
      <c r="M797">
        <v>18</v>
      </c>
      <c r="N797" s="2">
        <v>0.2</v>
      </c>
      <c r="O797">
        <v>212.94</v>
      </c>
      <c r="P797">
        <v>42.588000000000001</v>
      </c>
      <c r="Q797">
        <f>Sheet1__3_1_1_1[[#This Row],[Gross_Revenue]]-Sheet1__3_1_1_1[[#This Row],[Discount_Amount]]</f>
        <v>170.352</v>
      </c>
      <c r="R797">
        <v>93.69</v>
      </c>
      <c r="S797">
        <f>Sheet1__3_1_1_1[[#This Row],[Net_Revenue]]-Sheet1__3_1_1_1[[#This Row],[COGS]]</f>
        <v>76.662000000000006</v>
      </c>
    </row>
    <row r="798" spans="1:19" x14ac:dyDescent="0.25">
      <c r="A798" t="s">
        <v>893</v>
      </c>
      <c r="B798" s="1">
        <v>44745</v>
      </c>
      <c r="C798" t="s">
        <v>19</v>
      </c>
      <c r="D798" t="s">
        <v>130</v>
      </c>
      <c r="E798" t="s">
        <v>39</v>
      </c>
      <c r="F798" t="s">
        <v>31</v>
      </c>
      <c r="G798" t="s">
        <v>93</v>
      </c>
      <c r="H798" t="s">
        <v>57</v>
      </c>
      <c r="I798" t="s">
        <v>34</v>
      </c>
      <c r="J798" t="s">
        <v>94</v>
      </c>
      <c r="K798" t="s">
        <v>36</v>
      </c>
      <c r="L798">
        <v>131.46</v>
      </c>
      <c r="M798">
        <v>8</v>
      </c>
      <c r="N798" s="2">
        <v>0</v>
      </c>
      <c r="O798">
        <v>1051.68</v>
      </c>
      <c r="P798">
        <v>0</v>
      </c>
      <c r="Q798">
        <f>Sheet1__3_1_1_1[[#This Row],[Gross_Revenue]]-Sheet1__3_1_1_1[[#This Row],[Discount_Amount]]</f>
        <v>1051.68</v>
      </c>
      <c r="R798">
        <v>504.81</v>
      </c>
      <c r="S798">
        <f>Sheet1__3_1_1_1[[#This Row],[Net_Revenue]]-Sheet1__3_1_1_1[[#This Row],[COGS]]</f>
        <v>546.87000000000012</v>
      </c>
    </row>
    <row r="799" spans="1:19" x14ac:dyDescent="0.25">
      <c r="A799" t="s">
        <v>894</v>
      </c>
      <c r="B799" s="1">
        <v>44911</v>
      </c>
      <c r="C799" t="s">
        <v>44</v>
      </c>
      <c r="D799" t="s">
        <v>45</v>
      </c>
      <c r="E799" t="s">
        <v>21</v>
      </c>
      <c r="F799" t="s">
        <v>55</v>
      </c>
      <c r="G799" t="s">
        <v>83</v>
      </c>
      <c r="H799" t="s">
        <v>24</v>
      </c>
      <c r="I799" t="s">
        <v>48</v>
      </c>
      <c r="J799" t="s">
        <v>94</v>
      </c>
      <c r="K799" t="s">
        <v>143</v>
      </c>
      <c r="L799">
        <v>65.64</v>
      </c>
      <c r="M799">
        <v>8</v>
      </c>
      <c r="N799" s="2">
        <v>0.05</v>
      </c>
      <c r="O799">
        <v>525.12</v>
      </c>
      <c r="P799">
        <v>26.256</v>
      </c>
      <c r="Q799">
        <f>Sheet1__3_1_1_1[[#This Row],[Gross_Revenue]]-Sheet1__3_1_1_1[[#This Row],[Discount_Amount]]</f>
        <v>498.86400000000003</v>
      </c>
      <c r="R799">
        <v>209.52</v>
      </c>
      <c r="S799">
        <f>Sheet1__3_1_1_1[[#This Row],[Net_Revenue]]-Sheet1__3_1_1_1[[#This Row],[COGS]]</f>
        <v>289.34400000000005</v>
      </c>
    </row>
    <row r="800" spans="1:19" x14ac:dyDescent="0.25">
      <c r="A800" t="s">
        <v>895</v>
      </c>
      <c r="B800" s="1">
        <v>45223</v>
      </c>
      <c r="C800" t="s">
        <v>99</v>
      </c>
      <c r="D800" t="s">
        <v>100</v>
      </c>
      <c r="E800" t="s">
        <v>21</v>
      </c>
      <c r="F800" t="s">
        <v>22</v>
      </c>
      <c r="G800" t="s">
        <v>149</v>
      </c>
      <c r="H800" t="s">
        <v>71</v>
      </c>
      <c r="I800" t="s">
        <v>34</v>
      </c>
      <c r="J800" t="s">
        <v>35</v>
      </c>
      <c r="K800" t="s">
        <v>27</v>
      </c>
      <c r="L800">
        <v>20.88</v>
      </c>
      <c r="M800">
        <v>13</v>
      </c>
      <c r="N800" s="2">
        <v>0.05</v>
      </c>
      <c r="O800">
        <v>271.44</v>
      </c>
      <c r="P800">
        <v>13.572000000000001</v>
      </c>
      <c r="Q800">
        <f>Sheet1__3_1_1_1[[#This Row],[Gross_Revenue]]-Sheet1__3_1_1_1[[#This Row],[Discount_Amount]]</f>
        <v>257.86799999999999</v>
      </c>
      <c r="R800">
        <v>141.83000000000001</v>
      </c>
      <c r="S800">
        <f>Sheet1__3_1_1_1[[#This Row],[Net_Revenue]]-Sheet1__3_1_1_1[[#This Row],[COGS]]</f>
        <v>116.03799999999998</v>
      </c>
    </row>
    <row r="801" spans="1:19" x14ac:dyDescent="0.25">
      <c r="A801" t="s">
        <v>896</v>
      </c>
      <c r="B801" s="1">
        <v>45056</v>
      </c>
      <c r="C801" t="s">
        <v>44</v>
      </c>
      <c r="D801" t="s">
        <v>65</v>
      </c>
      <c r="E801" t="s">
        <v>39</v>
      </c>
      <c r="F801" t="s">
        <v>31</v>
      </c>
      <c r="G801" t="s">
        <v>32</v>
      </c>
      <c r="H801" t="s">
        <v>41</v>
      </c>
      <c r="I801" t="s">
        <v>48</v>
      </c>
      <c r="J801" t="s">
        <v>26</v>
      </c>
      <c r="K801" t="s">
        <v>27</v>
      </c>
      <c r="L801">
        <v>458.22</v>
      </c>
      <c r="M801">
        <v>4</v>
      </c>
      <c r="N801" s="2">
        <v>0.05</v>
      </c>
      <c r="O801">
        <v>1832.88</v>
      </c>
      <c r="P801">
        <v>91.644000000000005</v>
      </c>
      <c r="Q801">
        <f>Sheet1__3_1_1_1[[#This Row],[Gross_Revenue]]-Sheet1__3_1_1_1[[#This Row],[Discount_Amount]]</f>
        <v>1741.2360000000001</v>
      </c>
      <c r="R801">
        <v>835.8</v>
      </c>
      <c r="S801">
        <f>Sheet1__3_1_1_1[[#This Row],[Net_Revenue]]-Sheet1__3_1_1_1[[#This Row],[COGS]]</f>
        <v>905.43600000000015</v>
      </c>
    </row>
    <row r="802" spans="1:19" x14ac:dyDescent="0.25">
      <c r="A802" t="s">
        <v>897</v>
      </c>
      <c r="B802" s="1">
        <v>45248</v>
      </c>
      <c r="C802" t="s">
        <v>29</v>
      </c>
      <c r="D802" t="s">
        <v>62</v>
      </c>
      <c r="E802" t="s">
        <v>21</v>
      </c>
      <c r="F802" t="s">
        <v>31</v>
      </c>
      <c r="G802" t="s">
        <v>122</v>
      </c>
      <c r="H802" t="s">
        <v>52</v>
      </c>
      <c r="I802" t="s">
        <v>25</v>
      </c>
      <c r="J802" t="s">
        <v>49</v>
      </c>
      <c r="K802" t="s">
        <v>143</v>
      </c>
      <c r="L802">
        <v>539.45000000000005</v>
      </c>
      <c r="M802">
        <v>2</v>
      </c>
      <c r="N802" s="2">
        <v>0.15</v>
      </c>
      <c r="O802">
        <v>1078.9000000000001</v>
      </c>
      <c r="P802">
        <v>161.83500000000001</v>
      </c>
      <c r="Q802">
        <f>Sheet1__3_1_1_1[[#This Row],[Gross_Revenue]]-Sheet1__3_1_1_1[[#This Row],[Discount_Amount]]</f>
        <v>917.06500000000005</v>
      </c>
      <c r="R802">
        <v>440.19</v>
      </c>
      <c r="S802">
        <f>Sheet1__3_1_1_1[[#This Row],[Net_Revenue]]-Sheet1__3_1_1_1[[#This Row],[COGS]]</f>
        <v>476.87500000000006</v>
      </c>
    </row>
    <row r="803" spans="1:19" x14ac:dyDescent="0.25">
      <c r="A803" t="s">
        <v>898</v>
      </c>
      <c r="B803" s="1">
        <v>45243</v>
      </c>
      <c r="C803" t="s">
        <v>29</v>
      </c>
      <c r="D803" t="s">
        <v>62</v>
      </c>
      <c r="E803" t="s">
        <v>39</v>
      </c>
      <c r="F803" t="s">
        <v>69</v>
      </c>
      <c r="G803" t="s">
        <v>190</v>
      </c>
      <c r="H803" t="s">
        <v>47</v>
      </c>
      <c r="I803" t="s">
        <v>34</v>
      </c>
      <c r="J803" t="s">
        <v>26</v>
      </c>
      <c r="K803" t="s">
        <v>143</v>
      </c>
      <c r="L803">
        <v>19.84</v>
      </c>
      <c r="M803">
        <v>7</v>
      </c>
      <c r="N803" s="2">
        <v>0.05</v>
      </c>
      <c r="O803">
        <v>138.88</v>
      </c>
      <c r="P803">
        <v>6.944</v>
      </c>
      <c r="Q803">
        <f>Sheet1__3_1_1_1[[#This Row],[Gross_Revenue]]-Sheet1__3_1_1_1[[#This Row],[Discount_Amount]]</f>
        <v>131.93600000000001</v>
      </c>
      <c r="R803">
        <v>50.14</v>
      </c>
      <c r="S803">
        <f>Sheet1__3_1_1_1[[#This Row],[Net_Revenue]]-Sheet1__3_1_1_1[[#This Row],[COGS]]</f>
        <v>81.796000000000006</v>
      </c>
    </row>
    <row r="804" spans="1:19" x14ac:dyDescent="0.25">
      <c r="A804" t="s">
        <v>899</v>
      </c>
      <c r="B804" s="1">
        <v>44610</v>
      </c>
      <c r="C804" t="s">
        <v>99</v>
      </c>
      <c r="D804" t="s">
        <v>148</v>
      </c>
      <c r="E804" t="s">
        <v>21</v>
      </c>
      <c r="F804" t="s">
        <v>69</v>
      </c>
      <c r="G804" t="s">
        <v>70</v>
      </c>
      <c r="H804" t="s">
        <v>57</v>
      </c>
      <c r="I804" t="s">
        <v>48</v>
      </c>
      <c r="J804" t="s">
        <v>35</v>
      </c>
      <c r="K804" t="s">
        <v>143</v>
      </c>
      <c r="L804">
        <v>295.33</v>
      </c>
      <c r="M804">
        <v>6</v>
      </c>
      <c r="N804" s="2">
        <v>0.2</v>
      </c>
      <c r="O804">
        <v>1771.98</v>
      </c>
      <c r="P804">
        <v>354.39600000000002</v>
      </c>
      <c r="Q804">
        <f>Sheet1__3_1_1_1[[#This Row],[Gross_Revenue]]-Sheet1__3_1_1_1[[#This Row],[Discount_Amount]]</f>
        <v>1417.5840000000001</v>
      </c>
      <c r="R804">
        <v>538.67999999999995</v>
      </c>
      <c r="S804">
        <f>Sheet1__3_1_1_1[[#This Row],[Net_Revenue]]-Sheet1__3_1_1_1[[#This Row],[COGS]]</f>
        <v>878.90400000000011</v>
      </c>
    </row>
    <row r="805" spans="1:19" x14ac:dyDescent="0.25">
      <c r="A805" t="s">
        <v>900</v>
      </c>
      <c r="B805" s="1">
        <v>44826</v>
      </c>
      <c r="C805" t="s">
        <v>99</v>
      </c>
      <c r="D805" t="s">
        <v>100</v>
      </c>
      <c r="E805" t="s">
        <v>66</v>
      </c>
      <c r="F805" t="s">
        <v>69</v>
      </c>
      <c r="G805" t="s">
        <v>190</v>
      </c>
      <c r="H805" t="s">
        <v>106</v>
      </c>
      <c r="I805" t="s">
        <v>60</v>
      </c>
      <c r="J805" t="s">
        <v>94</v>
      </c>
      <c r="K805" t="s">
        <v>36</v>
      </c>
      <c r="L805">
        <v>17.899999999999999</v>
      </c>
      <c r="M805">
        <v>25</v>
      </c>
      <c r="N805" s="2">
        <v>0</v>
      </c>
      <c r="O805">
        <v>447.49999999999994</v>
      </c>
      <c r="P805">
        <v>0</v>
      </c>
      <c r="Q805">
        <f>Sheet1__3_1_1_1[[#This Row],[Gross_Revenue]]-Sheet1__3_1_1_1[[#This Row],[Discount_Amount]]</f>
        <v>447.49999999999994</v>
      </c>
      <c r="R805">
        <v>170.05</v>
      </c>
      <c r="S805">
        <f>Sheet1__3_1_1_1[[#This Row],[Net_Revenue]]-Sheet1__3_1_1_1[[#This Row],[COGS]]</f>
        <v>277.44999999999993</v>
      </c>
    </row>
    <row r="806" spans="1:19" x14ac:dyDescent="0.25">
      <c r="A806" t="s">
        <v>901</v>
      </c>
      <c r="B806" s="1">
        <v>45110</v>
      </c>
      <c r="C806" t="s">
        <v>44</v>
      </c>
      <c r="D806" t="s">
        <v>45</v>
      </c>
      <c r="E806" t="s">
        <v>66</v>
      </c>
      <c r="F806" t="s">
        <v>31</v>
      </c>
      <c r="G806" t="s">
        <v>166</v>
      </c>
      <c r="H806" t="s">
        <v>108</v>
      </c>
      <c r="I806" t="s">
        <v>25</v>
      </c>
      <c r="J806" t="s">
        <v>26</v>
      </c>
      <c r="K806" t="s">
        <v>53</v>
      </c>
      <c r="L806">
        <v>353.67</v>
      </c>
      <c r="M806">
        <v>3</v>
      </c>
      <c r="N806" s="2">
        <v>0.05</v>
      </c>
      <c r="O806">
        <v>1061.01</v>
      </c>
      <c r="P806">
        <v>53.0505</v>
      </c>
      <c r="Q806">
        <f>Sheet1__3_1_1_1[[#This Row],[Gross_Revenue]]-Sheet1__3_1_1_1[[#This Row],[Discount_Amount]]</f>
        <v>1007.9594999999999</v>
      </c>
      <c r="R806">
        <v>483.82</v>
      </c>
      <c r="S806">
        <f>Sheet1__3_1_1_1[[#This Row],[Net_Revenue]]-Sheet1__3_1_1_1[[#This Row],[COGS]]</f>
        <v>524.1395</v>
      </c>
    </row>
    <row r="807" spans="1:19" x14ac:dyDescent="0.25">
      <c r="A807" t="s">
        <v>902</v>
      </c>
      <c r="B807" s="1">
        <v>44823</v>
      </c>
      <c r="C807" t="s">
        <v>99</v>
      </c>
      <c r="D807" t="s">
        <v>148</v>
      </c>
      <c r="E807" t="s">
        <v>66</v>
      </c>
      <c r="F807" t="s">
        <v>79</v>
      </c>
      <c r="G807" t="s">
        <v>56</v>
      </c>
      <c r="H807" t="s">
        <v>41</v>
      </c>
      <c r="I807" t="s">
        <v>34</v>
      </c>
      <c r="J807" t="s">
        <v>89</v>
      </c>
      <c r="K807" t="s">
        <v>143</v>
      </c>
      <c r="L807">
        <v>39.18</v>
      </c>
      <c r="M807">
        <v>7</v>
      </c>
      <c r="N807" s="2">
        <v>0.15</v>
      </c>
      <c r="O807">
        <v>274.26</v>
      </c>
      <c r="P807">
        <v>41.138999999999996</v>
      </c>
      <c r="Q807">
        <f>Sheet1__3_1_1_1[[#This Row],[Gross_Revenue]]-Sheet1__3_1_1_1[[#This Row],[Discount_Amount]]</f>
        <v>233.12099999999998</v>
      </c>
      <c r="R807">
        <v>144.53</v>
      </c>
      <c r="S807">
        <f>Sheet1__3_1_1_1[[#This Row],[Net_Revenue]]-Sheet1__3_1_1_1[[#This Row],[COGS]]</f>
        <v>88.59099999999998</v>
      </c>
    </row>
    <row r="808" spans="1:19" x14ac:dyDescent="0.25">
      <c r="A808" t="s">
        <v>903</v>
      </c>
      <c r="B808" s="1">
        <v>44985</v>
      </c>
      <c r="C808" t="s">
        <v>99</v>
      </c>
      <c r="D808" t="s">
        <v>132</v>
      </c>
      <c r="E808" t="s">
        <v>39</v>
      </c>
      <c r="F808" t="s">
        <v>22</v>
      </c>
      <c r="G808" t="s">
        <v>46</v>
      </c>
      <c r="H808" t="s">
        <v>33</v>
      </c>
      <c r="I808" t="s">
        <v>60</v>
      </c>
      <c r="J808" t="s">
        <v>89</v>
      </c>
      <c r="K808" t="s">
        <v>36</v>
      </c>
      <c r="L808">
        <v>17.07</v>
      </c>
      <c r="M808">
        <v>19</v>
      </c>
      <c r="N808" s="2">
        <v>0.1</v>
      </c>
      <c r="O808">
        <v>324.33</v>
      </c>
      <c r="P808">
        <v>32.433</v>
      </c>
      <c r="Q808">
        <f>Sheet1__3_1_1_1[[#This Row],[Gross_Revenue]]-Sheet1__3_1_1_1[[#This Row],[Discount_Amount]]</f>
        <v>291.89699999999999</v>
      </c>
      <c r="R808">
        <v>160.54</v>
      </c>
      <c r="S808">
        <f>Sheet1__3_1_1_1[[#This Row],[Net_Revenue]]-Sheet1__3_1_1_1[[#This Row],[COGS]]</f>
        <v>131.357</v>
      </c>
    </row>
    <row r="809" spans="1:19" x14ac:dyDescent="0.25">
      <c r="A809" t="s">
        <v>904</v>
      </c>
      <c r="B809" s="1">
        <v>44728</v>
      </c>
      <c r="C809" t="s">
        <v>29</v>
      </c>
      <c r="D809" t="s">
        <v>30</v>
      </c>
      <c r="E809" t="s">
        <v>21</v>
      </c>
      <c r="F809" t="s">
        <v>31</v>
      </c>
      <c r="G809" t="s">
        <v>93</v>
      </c>
      <c r="H809" t="s">
        <v>106</v>
      </c>
      <c r="I809" t="s">
        <v>42</v>
      </c>
      <c r="J809" t="s">
        <v>26</v>
      </c>
      <c r="K809" t="s">
        <v>27</v>
      </c>
      <c r="L809" t="s">
        <v>1147</v>
      </c>
      <c r="M809">
        <v>1</v>
      </c>
      <c r="N809" s="2">
        <v>0</v>
      </c>
      <c r="O809">
        <v>0</v>
      </c>
      <c r="P809">
        <v>0</v>
      </c>
      <c r="Q809">
        <f>Sheet1__3_1_1_1[[#This Row],[Gross_Revenue]]-Sheet1__3_1_1_1[[#This Row],[Discount_Amount]]</f>
        <v>0</v>
      </c>
      <c r="R809" t="s">
        <v>1147</v>
      </c>
      <c r="S809" t="e">
        <f>Sheet1__3_1_1_1[[#This Row],[Net_Revenue]]-Sheet1__3_1_1_1[[#This Row],[COGS]]</f>
        <v>#VALUE!</v>
      </c>
    </row>
    <row r="810" spans="1:19" x14ac:dyDescent="0.25">
      <c r="A810" t="s">
        <v>905</v>
      </c>
      <c r="B810" s="1">
        <v>44894</v>
      </c>
      <c r="C810" t="s">
        <v>19</v>
      </c>
      <c r="D810" t="s">
        <v>130</v>
      </c>
      <c r="E810" t="s">
        <v>39</v>
      </c>
      <c r="F810" t="s">
        <v>69</v>
      </c>
      <c r="G810" t="s">
        <v>126</v>
      </c>
      <c r="H810" t="s">
        <v>57</v>
      </c>
      <c r="I810" t="s">
        <v>48</v>
      </c>
      <c r="J810" t="s">
        <v>35</v>
      </c>
      <c r="K810" t="s">
        <v>36</v>
      </c>
      <c r="L810">
        <v>27.86</v>
      </c>
      <c r="M810">
        <v>22</v>
      </c>
      <c r="N810" s="2">
        <v>0</v>
      </c>
      <c r="O810">
        <v>612.91999999999996</v>
      </c>
      <c r="P810">
        <v>0</v>
      </c>
      <c r="Q810">
        <f>Sheet1__3_1_1_1[[#This Row],[Gross_Revenue]]-Sheet1__3_1_1_1[[#This Row],[Discount_Amount]]</f>
        <v>612.91999999999996</v>
      </c>
      <c r="R810">
        <v>232.91</v>
      </c>
      <c r="S810">
        <f>Sheet1__3_1_1_1[[#This Row],[Net_Revenue]]-Sheet1__3_1_1_1[[#This Row],[COGS]]</f>
        <v>380.01</v>
      </c>
    </row>
    <row r="811" spans="1:19" x14ac:dyDescent="0.25">
      <c r="A811" t="s">
        <v>906</v>
      </c>
      <c r="B811" s="1">
        <v>45186</v>
      </c>
      <c r="C811" t="s">
        <v>29</v>
      </c>
      <c r="D811" t="s">
        <v>62</v>
      </c>
      <c r="E811" t="s">
        <v>39</v>
      </c>
      <c r="F811" t="s">
        <v>69</v>
      </c>
      <c r="G811" t="s">
        <v>73</v>
      </c>
      <c r="H811" t="s">
        <v>24</v>
      </c>
      <c r="I811" t="s">
        <v>34</v>
      </c>
      <c r="J811" t="s">
        <v>89</v>
      </c>
      <c r="K811" t="s">
        <v>36</v>
      </c>
      <c r="L811">
        <v>13.71</v>
      </c>
      <c r="M811">
        <v>24</v>
      </c>
      <c r="N811" s="2">
        <v>0</v>
      </c>
      <c r="O811">
        <v>329.04</v>
      </c>
      <c r="P811">
        <v>0</v>
      </c>
      <c r="Q811">
        <f>Sheet1__3_1_1_1[[#This Row],[Gross_Revenue]]-Sheet1__3_1_1_1[[#This Row],[Discount_Amount]]</f>
        <v>329.04</v>
      </c>
      <c r="R811">
        <v>125.04</v>
      </c>
      <c r="S811">
        <f>Sheet1__3_1_1_1[[#This Row],[Net_Revenue]]-Sheet1__3_1_1_1[[#This Row],[COGS]]</f>
        <v>204</v>
      </c>
    </row>
    <row r="812" spans="1:19" x14ac:dyDescent="0.25">
      <c r="A812" t="s">
        <v>907</v>
      </c>
      <c r="B812" s="1">
        <v>44680</v>
      </c>
      <c r="C812" t="s">
        <v>77</v>
      </c>
      <c r="D812" t="s">
        <v>110</v>
      </c>
      <c r="E812" t="s">
        <v>66</v>
      </c>
      <c r="F812" t="s">
        <v>22</v>
      </c>
      <c r="G812" t="s">
        <v>149</v>
      </c>
      <c r="H812" t="s">
        <v>71</v>
      </c>
      <c r="I812" t="s">
        <v>60</v>
      </c>
      <c r="J812" t="s">
        <v>49</v>
      </c>
      <c r="K812" t="s">
        <v>36</v>
      </c>
      <c r="L812">
        <v>24.87</v>
      </c>
      <c r="M812">
        <v>6</v>
      </c>
      <c r="N812" s="2">
        <v>0.05</v>
      </c>
      <c r="O812">
        <v>149.22</v>
      </c>
      <c r="P812">
        <v>7.4610000000000003</v>
      </c>
      <c r="Q812">
        <f>Sheet1__3_1_1_1[[#This Row],[Gross_Revenue]]-Sheet1__3_1_1_1[[#This Row],[Discount_Amount]]</f>
        <v>141.75899999999999</v>
      </c>
      <c r="R812">
        <v>77.97</v>
      </c>
      <c r="S812">
        <f>Sheet1__3_1_1_1[[#This Row],[Net_Revenue]]-Sheet1__3_1_1_1[[#This Row],[COGS]]</f>
        <v>63.788999999999987</v>
      </c>
    </row>
    <row r="813" spans="1:19" x14ac:dyDescent="0.25">
      <c r="A813" t="s">
        <v>908</v>
      </c>
      <c r="B813" s="1">
        <v>45082</v>
      </c>
      <c r="C813" t="s">
        <v>99</v>
      </c>
      <c r="D813" t="s">
        <v>132</v>
      </c>
      <c r="E813" t="s">
        <v>21</v>
      </c>
      <c r="F813" t="s">
        <v>31</v>
      </c>
      <c r="G813" t="s">
        <v>32</v>
      </c>
      <c r="H813" t="s">
        <v>59</v>
      </c>
      <c r="I813" t="s">
        <v>25</v>
      </c>
      <c r="J813" t="s">
        <v>49</v>
      </c>
      <c r="K813" t="s">
        <v>36</v>
      </c>
      <c r="L813">
        <v>394.05</v>
      </c>
      <c r="M813">
        <v>3</v>
      </c>
      <c r="N813" s="2">
        <v>0.1</v>
      </c>
      <c r="O813">
        <v>1182.1500000000001</v>
      </c>
      <c r="P813">
        <v>118.21500000000002</v>
      </c>
      <c r="Q813">
        <f>Sheet1__3_1_1_1[[#This Row],[Gross_Revenue]]-Sheet1__3_1_1_1[[#This Row],[Discount_Amount]]</f>
        <v>1063.9350000000002</v>
      </c>
      <c r="R813">
        <v>510.69</v>
      </c>
      <c r="S813">
        <f>Sheet1__3_1_1_1[[#This Row],[Net_Revenue]]-Sheet1__3_1_1_1[[#This Row],[COGS]]</f>
        <v>553.24500000000012</v>
      </c>
    </row>
    <row r="814" spans="1:19" x14ac:dyDescent="0.25">
      <c r="A814" t="s">
        <v>909</v>
      </c>
      <c r="B814" s="1">
        <v>45167</v>
      </c>
      <c r="C814" t="s">
        <v>77</v>
      </c>
      <c r="D814" t="s">
        <v>82</v>
      </c>
      <c r="E814" t="s">
        <v>66</v>
      </c>
      <c r="F814" t="s">
        <v>22</v>
      </c>
      <c r="G814" t="s">
        <v>23</v>
      </c>
      <c r="H814" t="s">
        <v>57</v>
      </c>
      <c r="I814" t="s">
        <v>34</v>
      </c>
      <c r="J814" t="s">
        <v>94</v>
      </c>
      <c r="K814" t="s">
        <v>36</v>
      </c>
      <c r="L814">
        <v>16</v>
      </c>
      <c r="N814" s="2">
        <v>0.2</v>
      </c>
      <c r="O814">
        <v>0</v>
      </c>
      <c r="P814">
        <v>0</v>
      </c>
      <c r="Q814">
        <f>Sheet1__3_1_1_1[[#This Row],[Gross_Revenue]]-Sheet1__3_1_1_1[[#This Row],[Discount_Amount]]</f>
        <v>0</v>
      </c>
      <c r="R814" t="s">
        <v>1147</v>
      </c>
      <c r="S814" t="e">
        <f>Sheet1__3_1_1_1[[#This Row],[Net_Revenue]]-Sheet1__3_1_1_1[[#This Row],[COGS]]</f>
        <v>#VALUE!</v>
      </c>
    </row>
    <row r="815" spans="1:19" x14ac:dyDescent="0.25">
      <c r="A815" t="s">
        <v>910</v>
      </c>
      <c r="B815" s="1">
        <v>45027</v>
      </c>
      <c r="C815" t="s">
        <v>99</v>
      </c>
      <c r="D815" t="s">
        <v>100</v>
      </c>
      <c r="E815" t="s">
        <v>39</v>
      </c>
      <c r="F815" t="s">
        <v>79</v>
      </c>
      <c r="G815" t="s">
        <v>80</v>
      </c>
      <c r="H815" t="s">
        <v>57</v>
      </c>
      <c r="I815" t="s">
        <v>48</v>
      </c>
      <c r="J815" t="s">
        <v>49</v>
      </c>
      <c r="K815" t="s">
        <v>36</v>
      </c>
      <c r="L815">
        <v>542.62</v>
      </c>
      <c r="M815">
        <v>5</v>
      </c>
      <c r="N815" s="2">
        <v>0.05</v>
      </c>
      <c r="O815">
        <v>2713.1</v>
      </c>
      <c r="P815">
        <v>135.655</v>
      </c>
      <c r="Q815">
        <f>Sheet1__3_1_1_1[[#This Row],[Gross_Revenue]]-Sheet1__3_1_1_1[[#This Row],[Discount_Amount]]</f>
        <v>2577.4449999999997</v>
      </c>
      <c r="R815">
        <v>1598.01</v>
      </c>
      <c r="S815">
        <f>Sheet1__3_1_1_1[[#This Row],[Net_Revenue]]-Sheet1__3_1_1_1[[#This Row],[COGS]]</f>
        <v>979.43499999999972</v>
      </c>
    </row>
    <row r="816" spans="1:19" x14ac:dyDescent="0.25">
      <c r="A816" t="s">
        <v>911</v>
      </c>
      <c r="B816" s="1">
        <v>44926</v>
      </c>
      <c r="C816" t="s">
        <v>77</v>
      </c>
      <c r="D816" t="s">
        <v>110</v>
      </c>
      <c r="E816" t="s">
        <v>39</v>
      </c>
      <c r="F816" t="s">
        <v>79</v>
      </c>
      <c r="G816" t="s">
        <v>96</v>
      </c>
      <c r="H816" t="s">
        <v>71</v>
      </c>
      <c r="I816" t="s">
        <v>60</v>
      </c>
      <c r="J816" t="s">
        <v>49</v>
      </c>
      <c r="K816" t="s">
        <v>53</v>
      </c>
      <c r="L816">
        <v>428.95</v>
      </c>
      <c r="M816">
        <v>4</v>
      </c>
      <c r="N816" s="2">
        <v>0</v>
      </c>
      <c r="O816">
        <v>1715.8</v>
      </c>
      <c r="P816">
        <v>0</v>
      </c>
      <c r="Q816">
        <f>Sheet1__3_1_1_1[[#This Row],[Gross_Revenue]]-Sheet1__3_1_1_1[[#This Row],[Discount_Amount]]</f>
        <v>1715.8</v>
      </c>
      <c r="R816">
        <v>1063.8</v>
      </c>
      <c r="S816">
        <f>Sheet1__3_1_1_1[[#This Row],[Net_Revenue]]-Sheet1__3_1_1_1[[#This Row],[COGS]]</f>
        <v>652</v>
      </c>
    </row>
    <row r="817" spans="1:19" x14ac:dyDescent="0.25">
      <c r="A817" t="s">
        <v>912</v>
      </c>
      <c r="B817" s="1">
        <v>45139</v>
      </c>
      <c r="C817" t="s">
        <v>19</v>
      </c>
      <c r="D817" t="s">
        <v>91</v>
      </c>
      <c r="E817" t="s">
        <v>63</v>
      </c>
      <c r="F817" t="s">
        <v>55</v>
      </c>
      <c r="G817" t="s">
        <v>103</v>
      </c>
      <c r="H817" t="s">
        <v>33</v>
      </c>
      <c r="I817" t="s">
        <v>60</v>
      </c>
      <c r="J817" t="s">
        <v>35</v>
      </c>
      <c r="K817" t="s">
        <v>36</v>
      </c>
      <c r="L817">
        <v>190.9</v>
      </c>
      <c r="M817">
        <v>6</v>
      </c>
      <c r="N817" s="2">
        <v>0.05</v>
      </c>
      <c r="O817">
        <v>1145.4000000000001</v>
      </c>
      <c r="P817">
        <v>57.27000000000001</v>
      </c>
      <c r="Q817">
        <f>Sheet1__3_1_1_1[[#This Row],[Gross_Revenue]]-Sheet1__3_1_1_1[[#This Row],[Discount_Amount]]</f>
        <v>1088.1300000000001</v>
      </c>
      <c r="R817">
        <v>457.01</v>
      </c>
      <c r="S817">
        <f>Sheet1__3_1_1_1[[#This Row],[Net_Revenue]]-Sheet1__3_1_1_1[[#This Row],[COGS]]</f>
        <v>631.12000000000012</v>
      </c>
    </row>
    <row r="818" spans="1:19" x14ac:dyDescent="0.25">
      <c r="A818" t="s">
        <v>913</v>
      </c>
      <c r="B818" s="1">
        <v>44768</v>
      </c>
      <c r="C818" t="s">
        <v>29</v>
      </c>
      <c r="D818" t="s">
        <v>38</v>
      </c>
      <c r="E818" t="s">
        <v>39</v>
      </c>
      <c r="F818" t="s">
        <v>69</v>
      </c>
      <c r="G818" t="s">
        <v>101</v>
      </c>
      <c r="H818" t="s">
        <v>33</v>
      </c>
      <c r="I818" t="s">
        <v>48</v>
      </c>
      <c r="J818" t="s">
        <v>49</v>
      </c>
      <c r="K818" t="s">
        <v>27</v>
      </c>
      <c r="L818">
        <v>6.95</v>
      </c>
      <c r="N818" s="2">
        <v>0</v>
      </c>
      <c r="O818">
        <v>0</v>
      </c>
      <c r="P818">
        <v>0</v>
      </c>
      <c r="Q818">
        <f>Sheet1__3_1_1_1[[#This Row],[Gross_Revenue]]-Sheet1__3_1_1_1[[#This Row],[Discount_Amount]]</f>
        <v>0</v>
      </c>
      <c r="R818" t="s">
        <v>1147</v>
      </c>
      <c r="S818" t="e">
        <f>Sheet1__3_1_1_1[[#This Row],[Net_Revenue]]-Sheet1__3_1_1_1[[#This Row],[COGS]]</f>
        <v>#VALUE!</v>
      </c>
    </row>
    <row r="819" spans="1:19" x14ac:dyDescent="0.25">
      <c r="A819" t="s">
        <v>914</v>
      </c>
      <c r="B819" s="1">
        <v>45017</v>
      </c>
      <c r="C819" t="s">
        <v>19</v>
      </c>
      <c r="D819" t="s">
        <v>91</v>
      </c>
      <c r="E819" t="s">
        <v>66</v>
      </c>
      <c r="F819" t="s">
        <v>79</v>
      </c>
      <c r="G819" t="s">
        <v>85</v>
      </c>
      <c r="H819" t="s">
        <v>24</v>
      </c>
      <c r="I819" t="s">
        <v>34</v>
      </c>
      <c r="J819" t="s">
        <v>94</v>
      </c>
      <c r="K819" t="s">
        <v>143</v>
      </c>
      <c r="L819">
        <v>730.33</v>
      </c>
      <c r="M819">
        <v>8</v>
      </c>
      <c r="N819" s="2">
        <v>0</v>
      </c>
      <c r="O819">
        <v>5842.64</v>
      </c>
      <c r="P819">
        <v>0</v>
      </c>
      <c r="Q819">
        <f>Sheet1__3_1_1_1[[#This Row],[Gross_Revenue]]-Sheet1__3_1_1_1[[#This Row],[Discount_Amount]]</f>
        <v>5842.64</v>
      </c>
      <c r="R819">
        <v>3622.44</v>
      </c>
      <c r="S819">
        <f>Sheet1__3_1_1_1[[#This Row],[Net_Revenue]]-Sheet1__3_1_1_1[[#This Row],[COGS]]</f>
        <v>2220.2000000000003</v>
      </c>
    </row>
    <row r="820" spans="1:19" x14ac:dyDescent="0.25">
      <c r="A820" t="s">
        <v>915</v>
      </c>
      <c r="B820" s="1">
        <v>45215</v>
      </c>
      <c r="C820" t="s">
        <v>44</v>
      </c>
      <c r="D820" t="s">
        <v>45</v>
      </c>
      <c r="E820" t="s">
        <v>21</v>
      </c>
      <c r="F820" t="s">
        <v>31</v>
      </c>
      <c r="G820" t="s">
        <v>40</v>
      </c>
      <c r="H820" t="s">
        <v>33</v>
      </c>
      <c r="I820" t="s">
        <v>42</v>
      </c>
      <c r="J820" t="s">
        <v>89</v>
      </c>
      <c r="K820" t="s">
        <v>36</v>
      </c>
      <c r="L820">
        <v>250.45</v>
      </c>
      <c r="M820">
        <v>7</v>
      </c>
      <c r="N820" s="2">
        <v>0</v>
      </c>
      <c r="O820">
        <v>1753.1499999999999</v>
      </c>
      <c r="P820">
        <v>0</v>
      </c>
      <c r="Q820">
        <f>Sheet1__3_1_1_1[[#This Row],[Gross_Revenue]]-Sheet1__3_1_1_1[[#This Row],[Discount_Amount]]</f>
        <v>1753.1499999999999</v>
      </c>
      <c r="R820">
        <v>841.51</v>
      </c>
      <c r="S820">
        <f>Sheet1__3_1_1_1[[#This Row],[Net_Revenue]]-Sheet1__3_1_1_1[[#This Row],[COGS]]</f>
        <v>911.63999999999987</v>
      </c>
    </row>
    <row r="821" spans="1:19" x14ac:dyDescent="0.25">
      <c r="A821" t="s">
        <v>916</v>
      </c>
      <c r="B821" s="1">
        <v>44928</v>
      </c>
      <c r="C821" t="s">
        <v>99</v>
      </c>
      <c r="D821" t="s">
        <v>132</v>
      </c>
      <c r="E821" t="s">
        <v>21</v>
      </c>
      <c r="F821" t="s">
        <v>22</v>
      </c>
      <c r="G821" t="s">
        <v>46</v>
      </c>
      <c r="H821" t="s">
        <v>87</v>
      </c>
      <c r="I821" t="s">
        <v>60</v>
      </c>
      <c r="J821" t="s">
        <v>35</v>
      </c>
      <c r="K821" t="s">
        <v>53</v>
      </c>
      <c r="L821">
        <v>15.56</v>
      </c>
      <c r="M821">
        <v>16</v>
      </c>
      <c r="N821" s="2">
        <v>0.15</v>
      </c>
      <c r="O821">
        <v>248.96</v>
      </c>
      <c r="P821">
        <v>37.344000000000001</v>
      </c>
      <c r="Q821">
        <f>Sheet1__3_1_1_1[[#This Row],[Gross_Revenue]]-Sheet1__3_1_1_1[[#This Row],[Discount_Amount]]</f>
        <v>211.61600000000001</v>
      </c>
      <c r="R821">
        <v>116.39</v>
      </c>
      <c r="S821">
        <f>Sheet1__3_1_1_1[[#This Row],[Net_Revenue]]-Sheet1__3_1_1_1[[#This Row],[COGS]]</f>
        <v>95.226000000000013</v>
      </c>
    </row>
    <row r="822" spans="1:19" x14ac:dyDescent="0.25">
      <c r="A822" t="s">
        <v>917</v>
      </c>
      <c r="B822" s="1">
        <v>45133</v>
      </c>
      <c r="C822" t="s">
        <v>29</v>
      </c>
      <c r="D822" t="s">
        <v>30</v>
      </c>
      <c r="E822" t="s">
        <v>39</v>
      </c>
      <c r="F822" t="s">
        <v>69</v>
      </c>
      <c r="G822" t="s">
        <v>190</v>
      </c>
      <c r="H822" t="s">
        <v>41</v>
      </c>
      <c r="I822" t="s">
        <v>25</v>
      </c>
      <c r="J822" t="s">
        <v>35</v>
      </c>
      <c r="K822" t="s">
        <v>53</v>
      </c>
      <c r="L822">
        <v>16.82</v>
      </c>
      <c r="M822">
        <v>23</v>
      </c>
      <c r="N822" s="2">
        <v>0</v>
      </c>
      <c r="O822">
        <v>386.86</v>
      </c>
      <c r="P822">
        <v>0</v>
      </c>
      <c r="Q822">
        <f>Sheet1__3_1_1_1[[#This Row],[Gross_Revenue]]-Sheet1__3_1_1_1[[#This Row],[Discount_Amount]]</f>
        <v>386.86</v>
      </c>
      <c r="R822">
        <v>147.01</v>
      </c>
      <c r="S822">
        <f>Sheet1__3_1_1_1[[#This Row],[Net_Revenue]]-Sheet1__3_1_1_1[[#This Row],[COGS]]</f>
        <v>239.85000000000002</v>
      </c>
    </row>
    <row r="823" spans="1:19" x14ac:dyDescent="0.25">
      <c r="A823" t="s">
        <v>918</v>
      </c>
      <c r="B823" s="1">
        <v>45136</v>
      </c>
      <c r="C823" t="s">
        <v>29</v>
      </c>
      <c r="D823" t="s">
        <v>38</v>
      </c>
      <c r="E823" t="s">
        <v>66</v>
      </c>
      <c r="F823" t="s">
        <v>79</v>
      </c>
      <c r="G823" t="s">
        <v>80</v>
      </c>
      <c r="H823" t="s">
        <v>47</v>
      </c>
      <c r="I823" t="s">
        <v>34</v>
      </c>
      <c r="J823" t="s">
        <v>26</v>
      </c>
      <c r="K823" t="s">
        <v>27</v>
      </c>
      <c r="L823">
        <v>613.15</v>
      </c>
      <c r="M823">
        <v>1</v>
      </c>
      <c r="N823" s="2">
        <v>0</v>
      </c>
      <c r="O823">
        <v>613.15</v>
      </c>
      <c r="P823">
        <v>0</v>
      </c>
      <c r="Q823">
        <f>Sheet1__3_1_1_1[[#This Row],[Gross_Revenue]]-Sheet1__3_1_1_1[[#This Row],[Discount_Amount]]</f>
        <v>613.15</v>
      </c>
      <c r="R823">
        <v>380.15</v>
      </c>
      <c r="S823">
        <f>Sheet1__3_1_1_1[[#This Row],[Net_Revenue]]-Sheet1__3_1_1_1[[#This Row],[COGS]]</f>
        <v>233</v>
      </c>
    </row>
    <row r="824" spans="1:19" x14ac:dyDescent="0.25">
      <c r="A824" t="s">
        <v>919</v>
      </c>
      <c r="B824" s="1">
        <v>44733</v>
      </c>
      <c r="C824" t="s">
        <v>19</v>
      </c>
      <c r="D824" t="s">
        <v>130</v>
      </c>
      <c r="E824" t="s">
        <v>21</v>
      </c>
      <c r="F824" t="s">
        <v>22</v>
      </c>
      <c r="G824" t="s">
        <v>75</v>
      </c>
      <c r="H824" t="s">
        <v>106</v>
      </c>
      <c r="I824" t="s">
        <v>34</v>
      </c>
      <c r="J824" t="s">
        <v>49</v>
      </c>
      <c r="K824" t="s">
        <v>36</v>
      </c>
      <c r="L824">
        <v>9.41</v>
      </c>
      <c r="M824">
        <v>11</v>
      </c>
      <c r="N824" s="2">
        <v>0.15</v>
      </c>
      <c r="O824">
        <v>103.51</v>
      </c>
      <c r="P824">
        <v>15.5265</v>
      </c>
      <c r="Q824">
        <f>Sheet1__3_1_1_1[[#This Row],[Gross_Revenue]]-Sheet1__3_1_1_1[[#This Row],[Discount_Amount]]</f>
        <v>87.983500000000006</v>
      </c>
      <c r="R824">
        <v>48.39</v>
      </c>
      <c r="S824">
        <f>Sheet1__3_1_1_1[[#This Row],[Net_Revenue]]-Sheet1__3_1_1_1[[#This Row],[COGS]]</f>
        <v>39.593500000000006</v>
      </c>
    </row>
    <row r="825" spans="1:19" x14ac:dyDescent="0.25">
      <c r="A825" t="s">
        <v>920</v>
      </c>
      <c r="B825" s="1">
        <v>45018</v>
      </c>
      <c r="C825" t="s">
        <v>44</v>
      </c>
      <c r="D825" t="s">
        <v>51</v>
      </c>
      <c r="E825" t="s">
        <v>63</v>
      </c>
      <c r="F825" t="s">
        <v>55</v>
      </c>
      <c r="G825" t="s">
        <v>67</v>
      </c>
      <c r="H825" t="s">
        <v>87</v>
      </c>
      <c r="I825" t="s">
        <v>25</v>
      </c>
      <c r="J825" t="s">
        <v>26</v>
      </c>
      <c r="K825" t="s">
        <v>53</v>
      </c>
      <c r="L825">
        <v>79.849999999999994</v>
      </c>
      <c r="M825">
        <v>6</v>
      </c>
      <c r="N825" s="2">
        <v>0.1</v>
      </c>
      <c r="O825">
        <v>479.09999999999997</v>
      </c>
      <c r="P825">
        <v>47.91</v>
      </c>
      <c r="Q825">
        <f>Sheet1__3_1_1_1[[#This Row],[Gross_Revenue]]-Sheet1__3_1_1_1[[#This Row],[Discount_Amount]]</f>
        <v>431.18999999999994</v>
      </c>
      <c r="R825">
        <v>181.1</v>
      </c>
      <c r="S825">
        <f>Sheet1__3_1_1_1[[#This Row],[Net_Revenue]]-Sheet1__3_1_1_1[[#This Row],[COGS]]</f>
        <v>250.08999999999995</v>
      </c>
    </row>
    <row r="826" spans="1:19" x14ac:dyDescent="0.25">
      <c r="A826" t="s">
        <v>921</v>
      </c>
      <c r="B826" s="1">
        <v>45240</v>
      </c>
      <c r="C826" t="s">
        <v>29</v>
      </c>
      <c r="D826" t="s">
        <v>30</v>
      </c>
      <c r="E826" t="s">
        <v>39</v>
      </c>
      <c r="F826" t="s">
        <v>79</v>
      </c>
      <c r="G826" t="s">
        <v>56</v>
      </c>
      <c r="H826" t="s">
        <v>106</v>
      </c>
      <c r="I826" t="s">
        <v>25</v>
      </c>
      <c r="J826" t="s">
        <v>35</v>
      </c>
      <c r="K826" t="s">
        <v>53</v>
      </c>
      <c r="L826">
        <v>55.86</v>
      </c>
      <c r="M826">
        <v>6</v>
      </c>
      <c r="N826" s="2">
        <v>0</v>
      </c>
      <c r="O826">
        <v>335.15999999999997</v>
      </c>
      <c r="P826">
        <v>0</v>
      </c>
      <c r="Q826">
        <f>Sheet1__3_1_1_1[[#This Row],[Gross_Revenue]]-Sheet1__3_1_1_1[[#This Row],[Discount_Amount]]</f>
        <v>335.15999999999997</v>
      </c>
      <c r="R826">
        <v>207.8</v>
      </c>
      <c r="S826">
        <f>Sheet1__3_1_1_1[[#This Row],[Net_Revenue]]-Sheet1__3_1_1_1[[#This Row],[COGS]]</f>
        <v>127.35999999999996</v>
      </c>
    </row>
    <row r="827" spans="1:19" x14ac:dyDescent="0.25">
      <c r="A827" t="s">
        <v>922</v>
      </c>
      <c r="B827" s="1">
        <v>44703</v>
      </c>
      <c r="C827" t="s">
        <v>19</v>
      </c>
      <c r="D827" t="s">
        <v>20</v>
      </c>
      <c r="E827" t="s">
        <v>21</v>
      </c>
      <c r="F827" t="s">
        <v>22</v>
      </c>
      <c r="G827" t="s">
        <v>23</v>
      </c>
      <c r="H827" t="s">
        <v>106</v>
      </c>
      <c r="I827" t="s">
        <v>60</v>
      </c>
      <c r="J827" t="s">
        <v>89</v>
      </c>
      <c r="K827" t="s">
        <v>36</v>
      </c>
      <c r="L827">
        <v>13.16</v>
      </c>
      <c r="M827">
        <v>18</v>
      </c>
      <c r="N827" s="2">
        <v>0.15</v>
      </c>
      <c r="O827">
        <v>236.88</v>
      </c>
      <c r="P827">
        <v>35.531999999999996</v>
      </c>
      <c r="Q827">
        <f>Sheet1__3_1_1_1[[#This Row],[Gross_Revenue]]-Sheet1__3_1_1_1[[#This Row],[Discount_Amount]]</f>
        <v>201.34800000000001</v>
      </c>
      <c r="R827">
        <v>110.74</v>
      </c>
      <c r="S827">
        <f>Sheet1__3_1_1_1[[#This Row],[Net_Revenue]]-Sheet1__3_1_1_1[[#This Row],[COGS]]</f>
        <v>90.608000000000018</v>
      </c>
    </row>
    <row r="828" spans="1:19" x14ac:dyDescent="0.25">
      <c r="A828" t="s">
        <v>923</v>
      </c>
      <c r="B828" s="1">
        <v>44604</v>
      </c>
      <c r="C828" t="s">
        <v>44</v>
      </c>
      <c r="D828" t="s">
        <v>51</v>
      </c>
      <c r="E828" t="s">
        <v>39</v>
      </c>
      <c r="F828" t="s">
        <v>79</v>
      </c>
      <c r="G828" t="s">
        <v>56</v>
      </c>
      <c r="H828" t="s">
        <v>111</v>
      </c>
      <c r="I828" t="s">
        <v>25</v>
      </c>
      <c r="J828" t="s">
        <v>35</v>
      </c>
      <c r="K828" t="s">
        <v>36</v>
      </c>
      <c r="L828">
        <v>49.09</v>
      </c>
      <c r="M828">
        <v>8</v>
      </c>
      <c r="N828" s="2">
        <v>0.1</v>
      </c>
      <c r="O828">
        <v>392.72</v>
      </c>
      <c r="P828">
        <v>39.272000000000006</v>
      </c>
      <c r="Q828">
        <f>Sheet1__3_1_1_1[[#This Row],[Gross_Revenue]]-Sheet1__3_1_1_1[[#This Row],[Discount_Amount]]</f>
        <v>353.44800000000004</v>
      </c>
      <c r="R828">
        <v>219.14</v>
      </c>
      <c r="S828">
        <f>Sheet1__3_1_1_1[[#This Row],[Net_Revenue]]-Sheet1__3_1_1_1[[#This Row],[COGS]]</f>
        <v>134.30800000000005</v>
      </c>
    </row>
    <row r="829" spans="1:19" x14ac:dyDescent="0.25">
      <c r="A829" t="s">
        <v>924</v>
      </c>
      <c r="B829" s="1">
        <v>44683</v>
      </c>
      <c r="C829" t="s">
        <v>99</v>
      </c>
      <c r="D829" t="s">
        <v>148</v>
      </c>
      <c r="E829" t="s">
        <v>39</v>
      </c>
      <c r="F829" t="s">
        <v>55</v>
      </c>
      <c r="G829" t="s">
        <v>120</v>
      </c>
      <c r="H829" t="s">
        <v>87</v>
      </c>
      <c r="I829" t="s">
        <v>48</v>
      </c>
      <c r="J829" t="s">
        <v>35</v>
      </c>
      <c r="K829" t="s">
        <v>143</v>
      </c>
      <c r="L829">
        <v>127.64</v>
      </c>
      <c r="M829">
        <v>2</v>
      </c>
      <c r="N829" s="2">
        <v>0.2</v>
      </c>
      <c r="O829">
        <v>255.28</v>
      </c>
      <c r="P829">
        <v>51.056000000000004</v>
      </c>
      <c r="Q829">
        <f>Sheet1__3_1_1_1[[#This Row],[Gross_Revenue]]-Sheet1__3_1_1_1[[#This Row],[Discount_Amount]]</f>
        <v>204.22399999999999</v>
      </c>
      <c r="R829">
        <v>85.77</v>
      </c>
      <c r="S829">
        <f>Sheet1__3_1_1_1[[#This Row],[Net_Revenue]]-Sheet1__3_1_1_1[[#This Row],[COGS]]</f>
        <v>118.45399999999999</v>
      </c>
    </row>
    <row r="830" spans="1:19" x14ac:dyDescent="0.25">
      <c r="A830" t="s">
        <v>925</v>
      </c>
      <c r="B830" s="1">
        <v>45222</v>
      </c>
      <c r="C830" t="s">
        <v>77</v>
      </c>
      <c r="D830" t="s">
        <v>82</v>
      </c>
      <c r="E830" t="s">
        <v>21</v>
      </c>
      <c r="F830" t="s">
        <v>69</v>
      </c>
      <c r="G830" t="s">
        <v>126</v>
      </c>
      <c r="H830" t="s">
        <v>47</v>
      </c>
      <c r="I830" t="s">
        <v>42</v>
      </c>
      <c r="J830" t="s">
        <v>26</v>
      </c>
      <c r="K830" t="s">
        <v>143</v>
      </c>
      <c r="L830">
        <v>24.32</v>
      </c>
      <c r="M830">
        <v>29</v>
      </c>
      <c r="N830" s="2">
        <v>0.2</v>
      </c>
      <c r="O830">
        <v>705.28</v>
      </c>
      <c r="P830">
        <v>141.05600000000001</v>
      </c>
      <c r="Q830">
        <f>Sheet1__3_1_1_1[[#This Row],[Gross_Revenue]]-Sheet1__3_1_1_1[[#This Row],[Discount_Amount]]</f>
        <v>564.22399999999993</v>
      </c>
      <c r="R830">
        <v>214.4</v>
      </c>
      <c r="S830">
        <f>Sheet1__3_1_1_1[[#This Row],[Net_Revenue]]-Sheet1__3_1_1_1[[#This Row],[COGS]]</f>
        <v>349.82399999999996</v>
      </c>
    </row>
    <row r="831" spans="1:19" x14ac:dyDescent="0.25">
      <c r="A831" t="s">
        <v>926</v>
      </c>
      <c r="B831" s="1">
        <v>45029</v>
      </c>
      <c r="C831" t="s">
        <v>44</v>
      </c>
      <c r="D831" t="s">
        <v>65</v>
      </c>
      <c r="E831" t="s">
        <v>66</v>
      </c>
      <c r="F831" t="s">
        <v>22</v>
      </c>
      <c r="G831" t="s">
        <v>149</v>
      </c>
      <c r="H831" t="s">
        <v>24</v>
      </c>
      <c r="I831" t="s">
        <v>34</v>
      </c>
      <c r="J831" t="s">
        <v>94</v>
      </c>
      <c r="K831" t="s">
        <v>27</v>
      </c>
      <c r="L831">
        <v>19.260000000000002</v>
      </c>
      <c r="M831">
        <v>7</v>
      </c>
      <c r="N831" s="2">
        <v>0.05</v>
      </c>
      <c r="O831">
        <v>134.82000000000002</v>
      </c>
      <c r="P831">
        <v>6.7410000000000014</v>
      </c>
      <c r="Q831">
        <f>Sheet1__3_1_1_1[[#This Row],[Gross_Revenue]]-Sheet1__3_1_1_1[[#This Row],[Discount_Amount]]</f>
        <v>128.07900000000001</v>
      </c>
      <c r="R831">
        <v>70.44</v>
      </c>
      <c r="S831">
        <f>Sheet1__3_1_1_1[[#This Row],[Net_Revenue]]-Sheet1__3_1_1_1[[#This Row],[COGS]]</f>
        <v>57.63900000000001</v>
      </c>
    </row>
    <row r="832" spans="1:19" x14ac:dyDescent="0.25">
      <c r="A832" t="s">
        <v>927</v>
      </c>
      <c r="B832" s="1">
        <v>44949</v>
      </c>
      <c r="C832" t="s">
        <v>44</v>
      </c>
      <c r="D832" t="s">
        <v>51</v>
      </c>
      <c r="E832" t="s">
        <v>39</v>
      </c>
      <c r="F832" t="s">
        <v>69</v>
      </c>
      <c r="G832" t="s">
        <v>101</v>
      </c>
      <c r="H832" t="s">
        <v>87</v>
      </c>
      <c r="I832" t="s">
        <v>42</v>
      </c>
      <c r="J832" t="s">
        <v>35</v>
      </c>
      <c r="K832" t="s">
        <v>143</v>
      </c>
      <c r="L832">
        <v>9.06</v>
      </c>
      <c r="M832">
        <v>6</v>
      </c>
      <c r="N832" s="2">
        <v>0.05</v>
      </c>
      <c r="O832">
        <v>54.36</v>
      </c>
      <c r="P832">
        <v>2.718</v>
      </c>
      <c r="Q832">
        <f>Sheet1__3_1_1_1[[#This Row],[Gross_Revenue]]-Sheet1__3_1_1_1[[#This Row],[Discount_Amount]]</f>
        <v>51.641999999999996</v>
      </c>
      <c r="R832">
        <v>19.62</v>
      </c>
      <c r="S832">
        <f>Sheet1__3_1_1_1[[#This Row],[Net_Revenue]]-Sheet1__3_1_1_1[[#This Row],[COGS]]</f>
        <v>32.021999999999991</v>
      </c>
    </row>
    <row r="833" spans="1:19" x14ac:dyDescent="0.25">
      <c r="A833" t="s">
        <v>928</v>
      </c>
      <c r="B833" s="1">
        <v>44804</v>
      </c>
      <c r="C833" t="s">
        <v>44</v>
      </c>
      <c r="D833" t="s">
        <v>45</v>
      </c>
      <c r="E833" t="s">
        <v>39</v>
      </c>
      <c r="F833" t="s">
        <v>55</v>
      </c>
      <c r="G833" t="s">
        <v>56</v>
      </c>
      <c r="H833" t="s">
        <v>33</v>
      </c>
      <c r="I833" t="s">
        <v>42</v>
      </c>
      <c r="J833" t="s">
        <v>49</v>
      </c>
      <c r="K833" t="s">
        <v>36</v>
      </c>
      <c r="L833">
        <v>50.94</v>
      </c>
      <c r="M833">
        <v>2</v>
      </c>
      <c r="N833" s="2">
        <v>0.1</v>
      </c>
      <c r="O833">
        <v>101.88</v>
      </c>
      <c r="P833">
        <v>10.188000000000001</v>
      </c>
      <c r="Q833">
        <f>Sheet1__3_1_1_1[[#This Row],[Gross_Revenue]]-Sheet1__3_1_1_1[[#This Row],[Discount_Amount]]</f>
        <v>91.691999999999993</v>
      </c>
      <c r="R833">
        <v>38.51</v>
      </c>
      <c r="S833">
        <f>Sheet1__3_1_1_1[[#This Row],[Net_Revenue]]-Sheet1__3_1_1_1[[#This Row],[COGS]]</f>
        <v>53.181999999999995</v>
      </c>
    </row>
    <row r="834" spans="1:19" x14ac:dyDescent="0.25">
      <c r="A834" t="s">
        <v>929</v>
      </c>
      <c r="B834" s="1">
        <v>44667</v>
      </c>
      <c r="C834" t="s">
        <v>77</v>
      </c>
      <c r="D834" t="s">
        <v>110</v>
      </c>
      <c r="E834" t="s">
        <v>39</v>
      </c>
      <c r="F834" t="s">
        <v>69</v>
      </c>
      <c r="G834" t="s">
        <v>70</v>
      </c>
      <c r="H834" t="s">
        <v>111</v>
      </c>
      <c r="I834" t="s">
        <v>48</v>
      </c>
      <c r="J834" t="s">
        <v>49</v>
      </c>
      <c r="K834" t="s">
        <v>36</v>
      </c>
      <c r="L834">
        <v>370.19</v>
      </c>
      <c r="M834">
        <v>30</v>
      </c>
      <c r="N834" s="2">
        <v>0</v>
      </c>
      <c r="O834">
        <v>11105.7</v>
      </c>
      <c r="P834">
        <v>0</v>
      </c>
      <c r="Q834">
        <f>Sheet1__3_1_1_1[[#This Row],[Gross_Revenue]]-Sheet1__3_1_1_1[[#This Row],[Discount_Amount]]</f>
        <v>11105.7</v>
      </c>
      <c r="R834">
        <v>4220.17</v>
      </c>
      <c r="S834">
        <f>Sheet1__3_1_1_1[[#This Row],[Net_Revenue]]-Sheet1__3_1_1_1[[#This Row],[COGS]]</f>
        <v>6885.5300000000007</v>
      </c>
    </row>
    <row r="835" spans="1:19" x14ac:dyDescent="0.25">
      <c r="A835" t="s">
        <v>930</v>
      </c>
      <c r="B835" s="1">
        <v>44950</v>
      </c>
      <c r="C835" t="s">
        <v>44</v>
      </c>
      <c r="D835" t="s">
        <v>65</v>
      </c>
      <c r="E835" t="s">
        <v>39</v>
      </c>
      <c r="F835" t="s">
        <v>55</v>
      </c>
      <c r="G835" t="s">
        <v>56</v>
      </c>
      <c r="H835" t="s">
        <v>52</v>
      </c>
      <c r="I835" t="s">
        <v>42</v>
      </c>
      <c r="J835" t="s">
        <v>26</v>
      </c>
      <c r="K835" t="s">
        <v>53</v>
      </c>
      <c r="L835">
        <v>46.54</v>
      </c>
      <c r="M835">
        <v>6</v>
      </c>
      <c r="N835" s="2">
        <v>0</v>
      </c>
      <c r="O835">
        <v>279.24</v>
      </c>
      <c r="P835">
        <v>0</v>
      </c>
      <c r="Q835">
        <f>Sheet1__3_1_1_1[[#This Row],[Gross_Revenue]]-Sheet1__3_1_1_1[[#This Row],[Discount_Amount]]</f>
        <v>279.24</v>
      </c>
      <c r="R835">
        <v>117.28</v>
      </c>
      <c r="S835">
        <f>Sheet1__3_1_1_1[[#This Row],[Net_Revenue]]-Sheet1__3_1_1_1[[#This Row],[COGS]]</f>
        <v>161.96</v>
      </c>
    </row>
    <row r="836" spans="1:19" x14ac:dyDescent="0.25">
      <c r="A836" t="s">
        <v>931</v>
      </c>
      <c r="B836" s="1">
        <v>45100</v>
      </c>
      <c r="C836" t="s">
        <v>99</v>
      </c>
      <c r="D836" t="s">
        <v>132</v>
      </c>
      <c r="E836" t="s">
        <v>21</v>
      </c>
      <c r="F836" t="s">
        <v>79</v>
      </c>
      <c r="G836" t="s">
        <v>85</v>
      </c>
      <c r="H836" t="s">
        <v>71</v>
      </c>
      <c r="I836" t="s">
        <v>34</v>
      </c>
      <c r="J836" t="s">
        <v>49</v>
      </c>
      <c r="K836" t="s">
        <v>53</v>
      </c>
      <c r="L836">
        <v>1006.37</v>
      </c>
      <c r="M836">
        <v>2</v>
      </c>
      <c r="N836" s="2">
        <v>0.1</v>
      </c>
      <c r="O836">
        <v>2012.74</v>
      </c>
      <c r="P836">
        <v>201.274</v>
      </c>
      <c r="Q836">
        <f>Sheet1__3_1_1_1[[#This Row],[Gross_Revenue]]-Sheet1__3_1_1_1[[#This Row],[Discount_Amount]]</f>
        <v>1811.4659999999999</v>
      </c>
      <c r="R836">
        <v>1123.1099999999999</v>
      </c>
      <c r="S836">
        <f>Sheet1__3_1_1_1[[#This Row],[Net_Revenue]]-Sheet1__3_1_1_1[[#This Row],[COGS]]</f>
        <v>688.35599999999999</v>
      </c>
    </row>
    <row r="837" spans="1:19" x14ac:dyDescent="0.25">
      <c r="A837" t="s">
        <v>932</v>
      </c>
      <c r="B837" s="1">
        <v>45284</v>
      </c>
      <c r="C837" t="s">
        <v>44</v>
      </c>
      <c r="D837" t="s">
        <v>65</v>
      </c>
      <c r="E837" t="s">
        <v>39</v>
      </c>
      <c r="F837" t="s">
        <v>22</v>
      </c>
      <c r="G837" t="s">
        <v>46</v>
      </c>
      <c r="H837" t="s">
        <v>111</v>
      </c>
      <c r="I837" t="s">
        <v>42</v>
      </c>
      <c r="J837" t="s">
        <v>26</v>
      </c>
      <c r="K837" t="s">
        <v>36</v>
      </c>
      <c r="L837">
        <v>22.11</v>
      </c>
      <c r="N837" s="2">
        <v>0.1</v>
      </c>
      <c r="O837">
        <v>0</v>
      </c>
      <c r="P837">
        <v>0</v>
      </c>
      <c r="Q837">
        <f>Sheet1__3_1_1_1[[#This Row],[Gross_Revenue]]-Sheet1__3_1_1_1[[#This Row],[Discount_Amount]]</f>
        <v>0</v>
      </c>
      <c r="R837" t="s">
        <v>1147</v>
      </c>
      <c r="S837" t="e">
        <f>Sheet1__3_1_1_1[[#This Row],[Net_Revenue]]-Sheet1__3_1_1_1[[#This Row],[COGS]]</f>
        <v>#VALUE!</v>
      </c>
    </row>
    <row r="838" spans="1:19" x14ac:dyDescent="0.25">
      <c r="A838" t="s">
        <v>933</v>
      </c>
      <c r="B838" s="1">
        <v>45133</v>
      </c>
      <c r="C838" t="s">
        <v>77</v>
      </c>
      <c r="D838" t="s">
        <v>78</v>
      </c>
      <c r="E838" t="s">
        <v>66</v>
      </c>
      <c r="F838" t="s">
        <v>69</v>
      </c>
      <c r="G838" t="s">
        <v>73</v>
      </c>
      <c r="H838" t="s">
        <v>57</v>
      </c>
      <c r="I838" t="s">
        <v>42</v>
      </c>
      <c r="J838" t="s">
        <v>49</v>
      </c>
      <c r="K838" t="s">
        <v>27</v>
      </c>
      <c r="L838">
        <v>14.6</v>
      </c>
      <c r="M838">
        <v>10</v>
      </c>
      <c r="N838" s="2">
        <v>0.15</v>
      </c>
      <c r="O838">
        <v>146</v>
      </c>
      <c r="P838">
        <v>21.9</v>
      </c>
      <c r="Q838">
        <f>Sheet1__3_1_1_1[[#This Row],[Gross_Revenue]]-Sheet1__3_1_1_1[[#This Row],[Discount_Amount]]</f>
        <v>124.1</v>
      </c>
      <c r="R838">
        <v>47.16</v>
      </c>
      <c r="S838">
        <f>Sheet1__3_1_1_1[[#This Row],[Net_Revenue]]-Sheet1__3_1_1_1[[#This Row],[COGS]]</f>
        <v>76.94</v>
      </c>
    </row>
    <row r="839" spans="1:19" x14ac:dyDescent="0.25">
      <c r="A839" t="s">
        <v>934</v>
      </c>
      <c r="B839" s="1">
        <v>45241</v>
      </c>
      <c r="C839" t="s">
        <v>44</v>
      </c>
      <c r="D839" t="s">
        <v>65</v>
      </c>
      <c r="E839" t="s">
        <v>63</v>
      </c>
      <c r="F839" t="s">
        <v>22</v>
      </c>
      <c r="G839" t="s">
        <v>149</v>
      </c>
      <c r="H839" t="s">
        <v>47</v>
      </c>
      <c r="I839" t="s">
        <v>48</v>
      </c>
      <c r="J839" t="s">
        <v>35</v>
      </c>
      <c r="K839" t="s">
        <v>53</v>
      </c>
      <c r="L839">
        <v>20.87</v>
      </c>
      <c r="M839">
        <v>16</v>
      </c>
      <c r="N839" s="2">
        <v>0.15</v>
      </c>
      <c r="O839">
        <v>333.92</v>
      </c>
      <c r="P839">
        <v>50.088000000000001</v>
      </c>
      <c r="Q839">
        <f>Sheet1__3_1_1_1[[#This Row],[Gross_Revenue]]-Sheet1__3_1_1_1[[#This Row],[Discount_Amount]]</f>
        <v>283.83199999999999</v>
      </c>
      <c r="R839">
        <v>156.11000000000001</v>
      </c>
      <c r="S839">
        <f>Sheet1__3_1_1_1[[#This Row],[Net_Revenue]]-Sheet1__3_1_1_1[[#This Row],[COGS]]</f>
        <v>127.72199999999998</v>
      </c>
    </row>
    <row r="840" spans="1:19" x14ac:dyDescent="0.25">
      <c r="A840" t="s">
        <v>935</v>
      </c>
      <c r="B840" s="1">
        <v>45175</v>
      </c>
      <c r="C840" t="s">
        <v>77</v>
      </c>
      <c r="D840" t="s">
        <v>82</v>
      </c>
      <c r="E840" t="s">
        <v>21</v>
      </c>
      <c r="F840" t="s">
        <v>31</v>
      </c>
      <c r="G840" t="s">
        <v>32</v>
      </c>
      <c r="H840" t="s">
        <v>108</v>
      </c>
      <c r="I840" t="s">
        <v>60</v>
      </c>
      <c r="J840" t="s">
        <v>49</v>
      </c>
      <c r="K840" t="s">
        <v>36</v>
      </c>
      <c r="L840">
        <v>389.18</v>
      </c>
      <c r="M840">
        <v>6</v>
      </c>
      <c r="N840" s="2">
        <v>0.05</v>
      </c>
      <c r="O840">
        <v>2335.08</v>
      </c>
      <c r="P840">
        <v>116.754</v>
      </c>
      <c r="Q840">
        <f>Sheet1__3_1_1_1[[#This Row],[Gross_Revenue]]-Sheet1__3_1_1_1[[#This Row],[Discount_Amount]]</f>
        <v>2218.326</v>
      </c>
      <c r="R840">
        <v>1064.8</v>
      </c>
      <c r="S840">
        <f>Sheet1__3_1_1_1[[#This Row],[Net_Revenue]]-Sheet1__3_1_1_1[[#This Row],[COGS]]</f>
        <v>1153.5260000000001</v>
      </c>
    </row>
    <row r="841" spans="1:19" x14ac:dyDescent="0.25">
      <c r="A841" t="s">
        <v>936</v>
      </c>
      <c r="B841" s="1">
        <v>45079</v>
      </c>
      <c r="C841" t="s">
        <v>77</v>
      </c>
      <c r="D841" t="s">
        <v>78</v>
      </c>
      <c r="E841" t="s">
        <v>66</v>
      </c>
      <c r="F841" t="s">
        <v>79</v>
      </c>
      <c r="G841" t="s">
        <v>85</v>
      </c>
      <c r="H841" t="s">
        <v>71</v>
      </c>
      <c r="I841" t="s">
        <v>25</v>
      </c>
      <c r="J841" t="s">
        <v>94</v>
      </c>
      <c r="K841" t="s">
        <v>36</v>
      </c>
      <c r="L841">
        <v>1008.69</v>
      </c>
      <c r="M841">
        <v>5</v>
      </c>
      <c r="N841" s="2">
        <v>0.2</v>
      </c>
      <c r="O841">
        <v>5043.4500000000007</v>
      </c>
      <c r="P841">
        <v>1008.6900000000002</v>
      </c>
      <c r="Q841">
        <f>Sheet1__3_1_1_1[[#This Row],[Gross_Revenue]]-Sheet1__3_1_1_1[[#This Row],[Discount_Amount]]</f>
        <v>4034.7600000000007</v>
      </c>
      <c r="R841">
        <v>2501.5500000000002</v>
      </c>
      <c r="S841">
        <f>Sheet1__3_1_1_1[[#This Row],[Net_Revenue]]-Sheet1__3_1_1_1[[#This Row],[COGS]]</f>
        <v>1533.2100000000005</v>
      </c>
    </row>
    <row r="842" spans="1:19" x14ac:dyDescent="0.25">
      <c r="A842" t="s">
        <v>937</v>
      </c>
      <c r="B842" s="1">
        <v>44859</v>
      </c>
      <c r="C842" t="s">
        <v>44</v>
      </c>
      <c r="D842" t="s">
        <v>45</v>
      </c>
      <c r="E842" t="s">
        <v>63</v>
      </c>
      <c r="F842" t="s">
        <v>69</v>
      </c>
      <c r="G842" t="s">
        <v>101</v>
      </c>
      <c r="H842" t="s">
        <v>24</v>
      </c>
      <c r="I842" t="s">
        <v>48</v>
      </c>
      <c r="J842" t="s">
        <v>89</v>
      </c>
      <c r="K842" t="s">
        <v>143</v>
      </c>
      <c r="L842">
        <v>9.0500000000000007</v>
      </c>
      <c r="M842">
        <v>17</v>
      </c>
      <c r="N842" s="2">
        <v>0</v>
      </c>
      <c r="O842">
        <v>153.85000000000002</v>
      </c>
      <c r="P842">
        <v>0</v>
      </c>
      <c r="Q842">
        <f>Sheet1__3_1_1_1[[#This Row],[Gross_Revenue]]-Sheet1__3_1_1_1[[#This Row],[Discount_Amount]]</f>
        <v>153.85000000000002</v>
      </c>
      <c r="R842">
        <v>58.46</v>
      </c>
      <c r="S842">
        <f>Sheet1__3_1_1_1[[#This Row],[Net_Revenue]]-Sheet1__3_1_1_1[[#This Row],[COGS]]</f>
        <v>95.390000000000015</v>
      </c>
    </row>
    <row r="843" spans="1:19" x14ac:dyDescent="0.25">
      <c r="A843" t="s">
        <v>938</v>
      </c>
      <c r="B843" s="1">
        <v>45116</v>
      </c>
      <c r="C843" t="s">
        <v>44</v>
      </c>
      <c r="D843" t="s">
        <v>65</v>
      </c>
      <c r="E843" t="s">
        <v>21</v>
      </c>
      <c r="F843" t="s">
        <v>79</v>
      </c>
      <c r="G843" t="s">
        <v>172</v>
      </c>
      <c r="H843" t="s">
        <v>106</v>
      </c>
      <c r="I843" t="s">
        <v>60</v>
      </c>
      <c r="J843" t="s">
        <v>89</v>
      </c>
      <c r="K843" t="s">
        <v>36</v>
      </c>
      <c r="L843">
        <v>357.02</v>
      </c>
      <c r="M843">
        <v>1</v>
      </c>
      <c r="N843" s="2">
        <v>0</v>
      </c>
      <c r="O843">
        <v>357.02</v>
      </c>
      <c r="P843">
        <v>0</v>
      </c>
      <c r="Q843">
        <f>Sheet1__3_1_1_1[[#This Row],[Gross_Revenue]]-Sheet1__3_1_1_1[[#This Row],[Discount_Amount]]</f>
        <v>357.02</v>
      </c>
      <c r="R843">
        <v>221.35</v>
      </c>
      <c r="S843">
        <f>Sheet1__3_1_1_1[[#This Row],[Net_Revenue]]-Sheet1__3_1_1_1[[#This Row],[COGS]]</f>
        <v>135.66999999999999</v>
      </c>
    </row>
    <row r="844" spans="1:19" x14ac:dyDescent="0.25">
      <c r="A844" t="s">
        <v>939</v>
      </c>
      <c r="B844" s="1">
        <v>44705</v>
      </c>
      <c r="C844" t="s">
        <v>19</v>
      </c>
      <c r="D844" t="s">
        <v>130</v>
      </c>
      <c r="E844" t="s">
        <v>39</v>
      </c>
      <c r="F844" t="s">
        <v>31</v>
      </c>
      <c r="G844" t="s">
        <v>32</v>
      </c>
      <c r="H844" t="s">
        <v>111</v>
      </c>
      <c r="I844" t="s">
        <v>60</v>
      </c>
      <c r="J844" t="s">
        <v>94</v>
      </c>
      <c r="K844" t="s">
        <v>36</v>
      </c>
      <c r="L844">
        <v>383.68</v>
      </c>
      <c r="M844">
        <v>8</v>
      </c>
      <c r="N844" s="2">
        <v>0</v>
      </c>
      <c r="O844">
        <v>3069.44</v>
      </c>
      <c r="P844">
        <v>0</v>
      </c>
      <c r="Q844">
        <f>Sheet1__3_1_1_1[[#This Row],[Gross_Revenue]]-Sheet1__3_1_1_1[[#This Row],[Discount_Amount]]</f>
        <v>3069.44</v>
      </c>
      <c r="R844">
        <v>1473.33</v>
      </c>
      <c r="S844">
        <f>Sheet1__3_1_1_1[[#This Row],[Net_Revenue]]-Sheet1__3_1_1_1[[#This Row],[COGS]]</f>
        <v>1596.1100000000001</v>
      </c>
    </row>
    <row r="845" spans="1:19" x14ac:dyDescent="0.25">
      <c r="A845" t="s">
        <v>940</v>
      </c>
      <c r="B845" s="1">
        <v>44894</v>
      </c>
      <c r="C845" t="s">
        <v>29</v>
      </c>
      <c r="D845" t="s">
        <v>62</v>
      </c>
      <c r="E845" t="s">
        <v>21</v>
      </c>
      <c r="F845" t="s">
        <v>22</v>
      </c>
      <c r="G845" t="s">
        <v>46</v>
      </c>
      <c r="H845" t="s">
        <v>87</v>
      </c>
      <c r="I845" t="s">
        <v>60</v>
      </c>
      <c r="J845" t="s">
        <v>94</v>
      </c>
      <c r="K845" t="s">
        <v>27</v>
      </c>
      <c r="L845">
        <v>17.64</v>
      </c>
      <c r="M845">
        <v>2</v>
      </c>
      <c r="N845" s="2">
        <v>0.15</v>
      </c>
      <c r="O845">
        <v>35.28</v>
      </c>
      <c r="P845">
        <v>5.2919999999999998</v>
      </c>
      <c r="Q845">
        <f>Sheet1__3_1_1_1[[#This Row],[Gross_Revenue]]-Sheet1__3_1_1_1[[#This Row],[Discount_Amount]]</f>
        <v>29.988</v>
      </c>
      <c r="R845">
        <v>16.489999999999998</v>
      </c>
      <c r="S845">
        <f>Sheet1__3_1_1_1[[#This Row],[Net_Revenue]]-Sheet1__3_1_1_1[[#This Row],[COGS]]</f>
        <v>13.498000000000001</v>
      </c>
    </row>
    <row r="846" spans="1:19" x14ac:dyDescent="0.25">
      <c r="A846" t="s">
        <v>941</v>
      </c>
      <c r="B846" s="1">
        <v>44664</v>
      </c>
      <c r="C846" t="s">
        <v>77</v>
      </c>
      <c r="D846" t="s">
        <v>110</v>
      </c>
      <c r="E846" t="s">
        <v>66</v>
      </c>
      <c r="F846" t="s">
        <v>55</v>
      </c>
      <c r="G846" t="s">
        <v>67</v>
      </c>
      <c r="H846" t="s">
        <v>108</v>
      </c>
      <c r="I846" t="s">
        <v>25</v>
      </c>
      <c r="J846" t="s">
        <v>94</v>
      </c>
      <c r="K846" t="s">
        <v>143</v>
      </c>
      <c r="L846">
        <v>80.87</v>
      </c>
      <c r="M846">
        <v>2</v>
      </c>
      <c r="N846" s="2">
        <v>0.05</v>
      </c>
      <c r="O846">
        <v>161.74</v>
      </c>
      <c r="P846">
        <v>8.0870000000000015</v>
      </c>
      <c r="Q846">
        <f>Sheet1__3_1_1_1[[#This Row],[Gross_Revenue]]-Sheet1__3_1_1_1[[#This Row],[Discount_Amount]]</f>
        <v>153.65300000000002</v>
      </c>
      <c r="R846">
        <v>64.53</v>
      </c>
      <c r="S846">
        <f>Sheet1__3_1_1_1[[#This Row],[Net_Revenue]]-Sheet1__3_1_1_1[[#This Row],[COGS]]</f>
        <v>89.123000000000019</v>
      </c>
    </row>
    <row r="847" spans="1:19" x14ac:dyDescent="0.25">
      <c r="A847" t="s">
        <v>942</v>
      </c>
      <c r="B847" s="1">
        <v>44908</v>
      </c>
      <c r="C847" t="s">
        <v>29</v>
      </c>
      <c r="D847" t="s">
        <v>38</v>
      </c>
      <c r="E847" t="s">
        <v>21</v>
      </c>
      <c r="F847" t="s">
        <v>31</v>
      </c>
      <c r="G847" t="s">
        <v>166</v>
      </c>
      <c r="H847" t="s">
        <v>33</v>
      </c>
      <c r="I847" t="s">
        <v>25</v>
      </c>
      <c r="J847" t="s">
        <v>35</v>
      </c>
      <c r="K847" t="s">
        <v>36</v>
      </c>
      <c r="L847">
        <v>302.05</v>
      </c>
      <c r="M847">
        <v>4</v>
      </c>
      <c r="N847" s="2">
        <v>0</v>
      </c>
      <c r="O847">
        <v>1208.2</v>
      </c>
      <c r="P847">
        <v>0</v>
      </c>
      <c r="Q847">
        <f>Sheet1__3_1_1_1[[#This Row],[Gross_Revenue]]-Sheet1__3_1_1_1[[#This Row],[Discount_Amount]]</f>
        <v>1208.2</v>
      </c>
      <c r="R847">
        <v>579.94000000000005</v>
      </c>
      <c r="S847">
        <f>Sheet1__3_1_1_1[[#This Row],[Net_Revenue]]-Sheet1__3_1_1_1[[#This Row],[COGS]]</f>
        <v>628.26</v>
      </c>
    </row>
    <row r="848" spans="1:19" x14ac:dyDescent="0.25">
      <c r="A848" t="s">
        <v>943</v>
      </c>
      <c r="B848" s="1">
        <v>44709</v>
      </c>
      <c r="C848" t="s">
        <v>29</v>
      </c>
      <c r="D848" t="s">
        <v>62</v>
      </c>
      <c r="E848" t="s">
        <v>63</v>
      </c>
      <c r="F848" t="s">
        <v>22</v>
      </c>
      <c r="G848" t="s">
        <v>149</v>
      </c>
      <c r="H848" t="s">
        <v>24</v>
      </c>
      <c r="I848" t="s">
        <v>25</v>
      </c>
      <c r="J848" t="s">
        <v>89</v>
      </c>
      <c r="K848" t="s">
        <v>36</v>
      </c>
      <c r="L848">
        <v>19.95</v>
      </c>
      <c r="M848">
        <v>9</v>
      </c>
      <c r="N848" s="2">
        <v>0</v>
      </c>
      <c r="O848">
        <v>179.54999999999998</v>
      </c>
      <c r="P848">
        <v>0</v>
      </c>
      <c r="Q848">
        <f>Sheet1__3_1_1_1[[#This Row],[Gross_Revenue]]-Sheet1__3_1_1_1[[#This Row],[Discount_Amount]]</f>
        <v>179.54999999999998</v>
      </c>
      <c r="R848">
        <v>98.75</v>
      </c>
      <c r="S848">
        <f>Sheet1__3_1_1_1[[#This Row],[Net_Revenue]]-Sheet1__3_1_1_1[[#This Row],[COGS]]</f>
        <v>80.799999999999983</v>
      </c>
    </row>
    <row r="849" spans="1:19" x14ac:dyDescent="0.25">
      <c r="A849" t="s">
        <v>944</v>
      </c>
      <c r="B849" s="1">
        <v>44674</v>
      </c>
      <c r="C849" t="s">
        <v>77</v>
      </c>
      <c r="D849" t="s">
        <v>110</v>
      </c>
      <c r="E849" t="s">
        <v>21</v>
      </c>
      <c r="F849" t="s">
        <v>31</v>
      </c>
      <c r="G849" t="s">
        <v>32</v>
      </c>
      <c r="H849" t="s">
        <v>59</v>
      </c>
      <c r="I849" t="s">
        <v>34</v>
      </c>
      <c r="J849" t="s">
        <v>35</v>
      </c>
      <c r="K849" t="s">
        <v>36</v>
      </c>
      <c r="L849">
        <v>472.41</v>
      </c>
      <c r="M849">
        <v>7</v>
      </c>
      <c r="N849" s="2">
        <v>0.05</v>
      </c>
      <c r="O849">
        <v>3306.8700000000003</v>
      </c>
      <c r="P849">
        <v>165.34350000000003</v>
      </c>
      <c r="Q849">
        <f>Sheet1__3_1_1_1[[#This Row],[Gross_Revenue]]-Sheet1__3_1_1_1[[#This Row],[Discount_Amount]]</f>
        <v>3141.5265000000004</v>
      </c>
      <c r="R849">
        <v>1507.93</v>
      </c>
      <c r="S849">
        <f>Sheet1__3_1_1_1[[#This Row],[Net_Revenue]]-Sheet1__3_1_1_1[[#This Row],[COGS]]</f>
        <v>1633.5965000000003</v>
      </c>
    </row>
    <row r="850" spans="1:19" x14ac:dyDescent="0.25">
      <c r="A850" t="s">
        <v>945</v>
      </c>
      <c r="B850" s="1">
        <v>44968</v>
      </c>
      <c r="C850" t="s">
        <v>29</v>
      </c>
      <c r="D850" t="s">
        <v>38</v>
      </c>
      <c r="E850" t="s">
        <v>63</v>
      </c>
      <c r="F850" t="s">
        <v>79</v>
      </c>
      <c r="G850" t="s">
        <v>56</v>
      </c>
      <c r="H850" t="s">
        <v>47</v>
      </c>
      <c r="I850" t="s">
        <v>34</v>
      </c>
      <c r="J850" t="s">
        <v>49</v>
      </c>
      <c r="K850" t="s">
        <v>53</v>
      </c>
      <c r="L850">
        <v>40.119999999999997</v>
      </c>
      <c r="M850">
        <v>3</v>
      </c>
      <c r="N850" s="2">
        <v>0</v>
      </c>
      <c r="O850">
        <v>120.35999999999999</v>
      </c>
      <c r="P850">
        <v>0</v>
      </c>
      <c r="Q850">
        <f>Sheet1__3_1_1_1[[#This Row],[Gross_Revenue]]-Sheet1__3_1_1_1[[#This Row],[Discount_Amount]]</f>
        <v>120.35999999999999</v>
      </c>
      <c r="R850">
        <v>74.62</v>
      </c>
      <c r="S850">
        <f>Sheet1__3_1_1_1[[#This Row],[Net_Revenue]]-Sheet1__3_1_1_1[[#This Row],[COGS]]</f>
        <v>45.739999999999981</v>
      </c>
    </row>
    <row r="851" spans="1:19" x14ac:dyDescent="0.25">
      <c r="A851" t="s">
        <v>946</v>
      </c>
      <c r="B851" s="1">
        <v>44865</v>
      </c>
      <c r="C851" t="s">
        <v>29</v>
      </c>
      <c r="D851" t="s">
        <v>30</v>
      </c>
      <c r="E851" t="s">
        <v>39</v>
      </c>
      <c r="F851" t="s">
        <v>22</v>
      </c>
      <c r="G851" t="s">
        <v>23</v>
      </c>
      <c r="H851" t="s">
        <v>52</v>
      </c>
      <c r="I851" t="s">
        <v>60</v>
      </c>
      <c r="J851" t="s">
        <v>49</v>
      </c>
      <c r="K851" t="s">
        <v>36</v>
      </c>
      <c r="L851">
        <v>13.11</v>
      </c>
      <c r="M851">
        <v>1</v>
      </c>
      <c r="N851" s="2">
        <v>0.15</v>
      </c>
      <c r="O851">
        <v>13.11</v>
      </c>
      <c r="P851">
        <v>1.9664999999999999</v>
      </c>
      <c r="Q851">
        <f>Sheet1__3_1_1_1[[#This Row],[Gross_Revenue]]-Sheet1__3_1_1_1[[#This Row],[Discount_Amount]]</f>
        <v>11.1435</v>
      </c>
      <c r="R851">
        <v>6.13</v>
      </c>
      <c r="S851">
        <f>Sheet1__3_1_1_1[[#This Row],[Net_Revenue]]-Sheet1__3_1_1_1[[#This Row],[COGS]]</f>
        <v>5.0134999999999996</v>
      </c>
    </row>
    <row r="852" spans="1:19" x14ac:dyDescent="0.25">
      <c r="A852" t="s">
        <v>947</v>
      </c>
      <c r="B852" s="1">
        <v>45208</v>
      </c>
      <c r="C852" t="s">
        <v>19</v>
      </c>
      <c r="D852" t="s">
        <v>91</v>
      </c>
      <c r="E852" t="s">
        <v>66</v>
      </c>
      <c r="F852" t="s">
        <v>69</v>
      </c>
      <c r="G852" t="s">
        <v>70</v>
      </c>
      <c r="H852" t="s">
        <v>106</v>
      </c>
      <c r="I852" t="s">
        <v>34</v>
      </c>
      <c r="J852" t="s">
        <v>89</v>
      </c>
      <c r="K852" t="s">
        <v>53</v>
      </c>
      <c r="L852">
        <v>293.44</v>
      </c>
      <c r="M852">
        <v>20</v>
      </c>
      <c r="N852" s="2">
        <v>0.15</v>
      </c>
      <c r="O852">
        <v>5868.8</v>
      </c>
      <c r="P852">
        <v>880.32</v>
      </c>
      <c r="Q852">
        <f>Sheet1__3_1_1_1[[#This Row],[Gross_Revenue]]-Sheet1__3_1_1_1[[#This Row],[Discount_Amount]]</f>
        <v>4988.4800000000005</v>
      </c>
      <c r="R852">
        <v>1895.62</v>
      </c>
      <c r="S852">
        <f>Sheet1__3_1_1_1[[#This Row],[Net_Revenue]]-Sheet1__3_1_1_1[[#This Row],[COGS]]</f>
        <v>3092.8600000000006</v>
      </c>
    </row>
    <row r="853" spans="1:19" x14ac:dyDescent="0.25">
      <c r="A853" t="s">
        <v>948</v>
      </c>
      <c r="B853" s="1">
        <v>45215</v>
      </c>
      <c r="C853" t="s">
        <v>29</v>
      </c>
      <c r="D853" t="s">
        <v>62</v>
      </c>
      <c r="E853" t="s">
        <v>66</v>
      </c>
      <c r="F853" t="s">
        <v>79</v>
      </c>
      <c r="G853" t="s">
        <v>85</v>
      </c>
      <c r="H853" t="s">
        <v>33</v>
      </c>
      <c r="I853" t="s">
        <v>60</v>
      </c>
      <c r="J853" t="s">
        <v>94</v>
      </c>
      <c r="K853" t="s">
        <v>143</v>
      </c>
      <c r="L853">
        <v>1027.1400000000001</v>
      </c>
      <c r="M853">
        <v>3</v>
      </c>
      <c r="N853" s="2">
        <v>0</v>
      </c>
      <c r="O853">
        <v>3081.42</v>
      </c>
      <c r="P853">
        <v>0</v>
      </c>
      <c r="Q853">
        <f>Sheet1__3_1_1_1[[#This Row],[Gross_Revenue]]-Sheet1__3_1_1_1[[#This Row],[Discount_Amount]]</f>
        <v>3081.42</v>
      </c>
      <c r="R853">
        <v>1910.48</v>
      </c>
      <c r="S853">
        <f>Sheet1__3_1_1_1[[#This Row],[Net_Revenue]]-Sheet1__3_1_1_1[[#This Row],[COGS]]</f>
        <v>1170.94</v>
      </c>
    </row>
    <row r="854" spans="1:19" x14ac:dyDescent="0.25">
      <c r="A854" t="s">
        <v>949</v>
      </c>
      <c r="B854" s="1">
        <v>45012</v>
      </c>
      <c r="C854" t="s">
        <v>29</v>
      </c>
      <c r="D854" t="s">
        <v>30</v>
      </c>
      <c r="E854" t="s">
        <v>39</v>
      </c>
      <c r="F854" t="s">
        <v>79</v>
      </c>
      <c r="G854" t="s">
        <v>56</v>
      </c>
      <c r="H854" t="s">
        <v>87</v>
      </c>
      <c r="I854" t="s">
        <v>60</v>
      </c>
      <c r="J854" t="s">
        <v>94</v>
      </c>
      <c r="K854" t="s">
        <v>36</v>
      </c>
      <c r="L854">
        <v>46.14</v>
      </c>
      <c r="M854">
        <v>4</v>
      </c>
      <c r="N854" s="2">
        <v>0</v>
      </c>
      <c r="O854">
        <v>184.56</v>
      </c>
      <c r="P854">
        <v>0</v>
      </c>
      <c r="Q854">
        <f>Sheet1__3_1_1_1[[#This Row],[Gross_Revenue]]-Sheet1__3_1_1_1[[#This Row],[Discount_Amount]]</f>
        <v>184.56</v>
      </c>
      <c r="R854">
        <v>114.43</v>
      </c>
      <c r="S854">
        <f>Sheet1__3_1_1_1[[#This Row],[Net_Revenue]]-Sheet1__3_1_1_1[[#This Row],[COGS]]</f>
        <v>70.13</v>
      </c>
    </row>
    <row r="855" spans="1:19" x14ac:dyDescent="0.25">
      <c r="A855" t="s">
        <v>950</v>
      </c>
      <c r="B855" s="1">
        <v>44960</v>
      </c>
      <c r="C855" t="s">
        <v>19</v>
      </c>
      <c r="D855" t="s">
        <v>130</v>
      </c>
      <c r="E855" t="s">
        <v>21</v>
      </c>
      <c r="F855" t="s">
        <v>69</v>
      </c>
      <c r="G855" t="s">
        <v>101</v>
      </c>
      <c r="H855" t="s">
        <v>47</v>
      </c>
      <c r="I855" t="s">
        <v>34</v>
      </c>
      <c r="J855" t="s">
        <v>35</v>
      </c>
      <c r="K855" t="s">
        <v>36</v>
      </c>
      <c r="L855">
        <v>9.65</v>
      </c>
      <c r="M855">
        <v>24</v>
      </c>
      <c r="N855" s="2">
        <v>0.1</v>
      </c>
      <c r="O855">
        <v>231.60000000000002</v>
      </c>
      <c r="P855">
        <v>23.160000000000004</v>
      </c>
      <c r="Q855">
        <f>Sheet1__3_1_1_1[[#This Row],[Gross_Revenue]]-Sheet1__3_1_1_1[[#This Row],[Discount_Amount]]</f>
        <v>208.44000000000003</v>
      </c>
      <c r="R855">
        <v>79.209999999999994</v>
      </c>
      <c r="S855">
        <f>Sheet1__3_1_1_1[[#This Row],[Net_Revenue]]-Sheet1__3_1_1_1[[#This Row],[COGS]]</f>
        <v>129.23000000000002</v>
      </c>
    </row>
    <row r="856" spans="1:19" x14ac:dyDescent="0.25">
      <c r="A856" t="s">
        <v>951</v>
      </c>
      <c r="B856" s="1">
        <v>45014</v>
      </c>
      <c r="C856" t="s">
        <v>99</v>
      </c>
      <c r="D856" t="s">
        <v>132</v>
      </c>
      <c r="E856" t="s">
        <v>39</v>
      </c>
      <c r="F856" t="s">
        <v>22</v>
      </c>
      <c r="G856" t="s">
        <v>113</v>
      </c>
      <c r="H856" t="s">
        <v>111</v>
      </c>
      <c r="I856" t="s">
        <v>42</v>
      </c>
      <c r="J856" t="s">
        <v>26</v>
      </c>
      <c r="K856" t="s">
        <v>53</v>
      </c>
      <c r="L856">
        <v>14.31</v>
      </c>
      <c r="M856">
        <v>30</v>
      </c>
      <c r="N856" s="2">
        <v>0.15</v>
      </c>
      <c r="O856">
        <v>429.3</v>
      </c>
      <c r="P856">
        <v>64.394999999999996</v>
      </c>
      <c r="Q856">
        <f>Sheet1__3_1_1_1[[#This Row],[Gross_Revenue]]-Sheet1__3_1_1_1[[#This Row],[Discount_Amount]]</f>
        <v>364.90500000000003</v>
      </c>
      <c r="R856">
        <v>200.7</v>
      </c>
      <c r="S856">
        <f>Sheet1__3_1_1_1[[#This Row],[Net_Revenue]]-Sheet1__3_1_1_1[[#This Row],[COGS]]</f>
        <v>164.20500000000004</v>
      </c>
    </row>
    <row r="857" spans="1:19" x14ac:dyDescent="0.25">
      <c r="A857" t="s">
        <v>952</v>
      </c>
      <c r="B857" s="1">
        <v>45106</v>
      </c>
      <c r="C857" t="s">
        <v>77</v>
      </c>
      <c r="D857" t="s">
        <v>82</v>
      </c>
      <c r="E857" t="s">
        <v>66</v>
      </c>
      <c r="F857" t="s">
        <v>31</v>
      </c>
      <c r="G857" t="s">
        <v>40</v>
      </c>
      <c r="H857" t="s">
        <v>47</v>
      </c>
      <c r="I857" t="s">
        <v>34</v>
      </c>
      <c r="J857" t="s">
        <v>35</v>
      </c>
      <c r="K857" t="s">
        <v>143</v>
      </c>
      <c r="L857">
        <v>242.7</v>
      </c>
      <c r="M857">
        <v>7</v>
      </c>
      <c r="N857" s="2">
        <v>0</v>
      </c>
      <c r="O857">
        <v>1698.8999999999999</v>
      </c>
      <c r="P857">
        <v>0</v>
      </c>
      <c r="Q857">
        <f>Sheet1__3_1_1_1[[#This Row],[Gross_Revenue]]-Sheet1__3_1_1_1[[#This Row],[Discount_Amount]]</f>
        <v>1698.8999999999999</v>
      </c>
      <c r="R857">
        <v>815.47</v>
      </c>
      <c r="S857">
        <f>Sheet1__3_1_1_1[[#This Row],[Net_Revenue]]-Sheet1__3_1_1_1[[#This Row],[COGS]]</f>
        <v>883.42999999999984</v>
      </c>
    </row>
    <row r="858" spans="1:19" x14ac:dyDescent="0.25">
      <c r="A858" t="s">
        <v>953</v>
      </c>
      <c r="B858" s="1">
        <v>44809</v>
      </c>
      <c r="C858" t="s">
        <v>44</v>
      </c>
      <c r="D858" t="s">
        <v>51</v>
      </c>
      <c r="E858" t="s">
        <v>66</v>
      </c>
      <c r="F858" t="s">
        <v>79</v>
      </c>
      <c r="G858" t="s">
        <v>85</v>
      </c>
      <c r="H858" t="s">
        <v>33</v>
      </c>
      <c r="I858" t="s">
        <v>34</v>
      </c>
      <c r="J858" t="s">
        <v>89</v>
      </c>
      <c r="K858" t="s">
        <v>36</v>
      </c>
      <c r="L858">
        <v>1050.3499999999999</v>
      </c>
      <c r="M858">
        <v>3</v>
      </c>
      <c r="N858" s="2">
        <v>0.2</v>
      </c>
      <c r="O858">
        <v>3151.0499999999997</v>
      </c>
      <c r="P858">
        <v>630.21</v>
      </c>
      <c r="Q858">
        <f>Sheet1__3_1_1_1[[#This Row],[Gross_Revenue]]-Sheet1__3_1_1_1[[#This Row],[Discount_Amount]]</f>
        <v>2520.8399999999997</v>
      </c>
      <c r="R858">
        <v>1562.92</v>
      </c>
      <c r="S858">
        <f>Sheet1__3_1_1_1[[#This Row],[Net_Revenue]]-Sheet1__3_1_1_1[[#This Row],[COGS]]</f>
        <v>957.91999999999962</v>
      </c>
    </row>
    <row r="859" spans="1:19" x14ac:dyDescent="0.25">
      <c r="A859" t="s">
        <v>954</v>
      </c>
      <c r="B859" s="1">
        <v>44944</v>
      </c>
      <c r="C859" t="s">
        <v>29</v>
      </c>
      <c r="D859" t="s">
        <v>62</v>
      </c>
      <c r="E859" t="s">
        <v>63</v>
      </c>
      <c r="F859" t="s">
        <v>55</v>
      </c>
      <c r="G859" t="s">
        <v>56</v>
      </c>
      <c r="H859" t="s">
        <v>108</v>
      </c>
      <c r="I859" t="s">
        <v>42</v>
      </c>
      <c r="J859" t="s">
        <v>49</v>
      </c>
      <c r="K859" t="s">
        <v>27</v>
      </c>
      <c r="L859">
        <v>51.59</v>
      </c>
      <c r="N859" s="2">
        <v>0.15</v>
      </c>
      <c r="O859">
        <v>0</v>
      </c>
      <c r="P859">
        <v>0</v>
      </c>
      <c r="Q859">
        <f>Sheet1__3_1_1_1[[#This Row],[Gross_Revenue]]-Sheet1__3_1_1_1[[#This Row],[Discount_Amount]]</f>
        <v>0</v>
      </c>
      <c r="R859" t="s">
        <v>1147</v>
      </c>
      <c r="S859" t="e">
        <f>Sheet1__3_1_1_1[[#This Row],[Net_Revenue]]-Sheet1__3_1_1_1[[#This Row],[COGS]]</f>
        <v>#VALUE!</v>
      </c>
    </row>
    <row r="860" spans="1:19" x14ac:dyDescent="0.25">
      <c r="A860" t="s">
        <v>955</v>
      </c>
      <c r="B860" s="1">
        <v>45027</v>
      </c>
      <c r="C860" t="s">
        <v>19</v>
      </c>
      <c r="D860" t="s">
        <v>91</v>
      </c>
      <c r="E860" t="s">
        <v>21</v>
      </c>
      <c r="F860" t="s">
        <v>69</v>
      </c>
      <c r="G860" t="s">
        <v>126</v>
      </c>
      <c r="H860" t="s">
        <v>24</v>
      </c>
      <c r="I860" t="s">
        <v>42</v>
      </c>
      <c r="J860" t="s">
        <v>89</v>
      </c>
      <c r="K860" t="s">
        <v>36</v>
      </c>
      <c r="L860">
        <v>22.14</v>
      </c>
      <c r="M860">
        <v>6</v>
      </c>
      <c r="N860" s="2">
        <v>0.15</v>
      </c>
      <c r="O860">
        <v>132.84</v>
      </c>
      <c r="P860">
        <v>19.925999999999998</v>
      </c>
      <c r="Q860">
        <f>Sheet1__3_1_1_1[[#This Row],[Gross_Revenue]]-Sheet1__3_1_1_1[[#This Row],[Discount_Amount]]</f>
        <v>112.914</v>
      </c>
      <c r="R860">
        <v>42.91</v>
      </c>
      <c r="S860">
        <f>Sheet1__3_1_1_1[[#This Row],[Net_Revenue]]-Sheet1__3_1_1_1[[#This Row],[COGS]]</f>
        <v>70.004000000000005</v>
      </c>
    </row>
    <row r="861" spans="1:19" x14ac:dyDescent="0.25">
      <c r="A861" t="s">
        <v>956</v>
      </c>
      <c r="B861" s="1">
        <v>44651</v>
      </c>
      <c r="C861" t="s">
        <v>44</v>
      </c>
      <c r="D861" t="s">
        <v>45</v>
      </c>
      <c r="E861" t="s">
        <v>66</v>
      </c>
      <c r="F861" t="s">
        <v>79</v>
      </c>
      <c r="G861" t="s">
        <v>85</v>
      </c>
      <c r="H861" t="s">
        <v>24</v>
      </c>
      <c r="I861" t="s">
        <v>48</v>
      </c>
      <c r="J861" t="s">
        <v>26</v>
      </c>
      <c r="K861" t="s">
        <v>36</v>
      </c>
      <c r="L861">
        <v>866.34</v>
      </c>
      <c r="M861">
        <v>1</v>
      </c>
      <c r="N861" s="2">
        <v>0</v>
      </c>
      <c r="O861">
        <v>866.34</v>
      </c>
      <c r="P861">
        <v>0</v>
      </c>
      <c r="Q861">
        <f>Sheet1__3_1_1_1[[#This Row],[Gross_Revenue]]-Sheet1__3_1_1_1[[#This Row],[Discount_Amount]]</f>
        <v>866.34</v>
      </c>
      <c r="R861">
        <v>537.13</v>
      </c>
      <c r="S861">
        <f>Sheet1__3_1_1_1[[#This Row],[Net_Revenue]]-Sheet1__3_1_1_1[[#This Row],[COGS]]</f>
        <v>329.21000000000004</v>
      </c>
    </row>
    <row r="862" spans="1:19" x14ac:dyDescent="0.25">
      <c r="A862" t="s">
        <v>957</v>
      </c>
      <c r="B862" s="1">
        <v>44939</v>
      </c>
      <c r="C862" t="s">
        <v>29</v>
      </c>
      <c r="D862" t="s">
        <v>30</v>
      </c>
      <c r="E862" t="s">
        <v>21</v>
      </c>
      <c r="F862" t="s">
        <v>31</v>
      </c>
      <c r="G862" t="s">
        <v>122</v>
      </c>
      <c r="H862" t="s">
        <v>111</v>
      </c>
      <c r="I862" t="s">
        <v>34</v>
      </c>
      <c r="J862" t="s">
        <v>89</v>
      </c>
      <c r="K862" t="s">
        <v>36</v>
      </c>
      <c r="L862">
        <v>474.44</v>
      </c>
      <c r="M862">
        <v>6</v>
      </c>
      <c r="N862" s="2">
        <v>0</v>
      </c>
      <c r="O862">
        <v>2846.64</v>
      </c>
      <c r="P862">
        <v>0</v>
      </c>
      <c r="Q862">
        <f>Sheet1__3_1_1_1[[#This Row],[Gross_Revenue]]-Sheet1__3_1_1_1[[#This Row],[Discount_Amount]]</f>
        <v>2846.64</v>
      </c>
      <c r="R862">
        <v>1366.39</v>
      </c>
      <c r="S862">
        <f>Sheet1__3_1_1_1[[#This Row],[Net_Revenue]]-Sheet1__3_1_1_1[[#This Row],[COGS]]</f>
        <v>1480.2499999999998</v>
      </c>
    </row>
    <row r="863" spans="1:19" x14ac:dyDescent="0.25">
      <c r="A863" t="s">
        <v>958</v>
      </c>
      <c r="B863" s="1">
        <v>44725</v>
      </c>
      <c r="C863" t="s">
        <v>44</v>
      </c>
      <c r="D863" t="s">
        <v>65</v>
      </c>
      <c r="E863" t="s">
        <v>21</v>
      </c>
      <c r="F863" t="s">
        <v>22</v>
      </c>
      <c r="G863" t="s">
        <v>149</v>
      </c>
      <c r="H863" t="s">
        <v>47</v>
      </c>
      <c r="I863" t="s">
        <v>25</v>
      </c>
      <c r="J863" t="s">
        <v>89</v>
      </c>
      <c r="K863" t="s">
        <v>143</v>
      </c>
      <c r="L863">
        <v>21.37</v>
      </c>
      <c r="M863">
        <v>8</v>
      </c>
      <c r="N863" s="2">
        <v>0</v>
      </c>
      <c r="O863">
        <v>170.96</v>
      </c>
      <c r="P863">
        <v>0</v>
      </c>
      <c r="Q863">
        <f>Sheet1__3_1_1_1[[#This Row],[Gross_Revenue]]-Sheet1__3_1_1_1[[#This Row],[Discount_Amount]]</f>
        <v>170.96</v>
      </c>
      <c r="R863">
        <v>94.03</v>
      </c>
      <c r="S863">
        <f>Sheet1__3_1_1_1[[#This Row],[Net_Revenue]]-Sheet1__3_1_1_1[[#This Row],[COGS]]</f>
        <v>76.930000000000007</v>
      </c>
    </row>
    <row r="864" spans="1:19" x14ac:dyDescent="0.25">
      <c r="A864" t="s">
        <v>959</v>
      </c>
      <c r="B864" s="1">
        <v>44907</v>
      </c>
      <c r="C864" t="s">
        <v>77</v>
      </c>
      <c r="D864" t="s">
        <v>110</v>
      </c>
      <c r="E864" t="s">
        <v>39</v>
      </c>
      <c r="F864" t="s">
        <v>55</v>
      </c>
      <c r="G864" t="s">
        <v>120</v>
      </c>
      <c r="H864" t="s">
        <v>111</v>
      </c>
      <c r="I864" t="s">
        <v>60</v>
      </c>
      <c r="J864" t="s">
        <v>89</v>
      </c>
      <c r="K864" t="s">
        <v>36</v>
      </c>
      <c r="L864">
        <v>112.24</v>
      </c>
      <c r="M864">
        <v>5</v>
      </c>
      <c r="N864" s="2">
        <v>0.1</v>
      </c>
      <c r="O864">
        <v>561.19999999999993</v>
      </c>
      <c r="P864">
        <v>56.12</v>
      </c>
      <c r="Q864">
        <f>Sheet1__3_1_1_1[[#This Row],[Gross_Revenue]]-Sheet1__3_1_1_1[[#This Row],[Discount_Amount]]</f>
        <v>505.07999999999993</v>
      </c>
      <c r="R864">
        <v>212.13</v>
      </c>
      <c r="S864">
        <f>Sheet1__3_1_1_1[[#This Row],[Net_Revenue]]-Sheet1__3_1_1_1[[#This Row],[COGS]]</f>
        <v>292.94999999999993</v>
      </c>
    </row>
    <row r="865" spans="1:19" x14ac:dyDescent="0.25">
      <c r="A865" t="s">
        <v>960</v>
      </c>
      <c r="B865" s="1">
        <v>45223</v>
      </c>
      <c r="C865" t="s">
        <v>19</v>
      </c>
      <c r="D865" t="s">
        <v>130</v>
      </c>
      <c r="E865" t="s">
        <v>66</v>
      </c>
      <c r="F865" t="s">
        <v>22</v>
      </c>
      <c r="G865" t="s">
        <v>75</v>
      </c>
      <c r="H865" t="s">
        <v>47</v>
      </c>
      <c r="I865" t="s">
        <v>25</v>
      </c>
      <c r="J865" t="s">
        <v>94</v>
      </c>
      <c r="K865" t="s">
        <v>36</v>
      </c>
      <c r="L865">
        <v>12.09</v>
      </c>
      <c r="M865">
        <v>10</v>
      </c>
      <c r="N865" s="2">
        <v>0</v>
      </c>
      <c r="O865">
        <v>120.9</v>
      </c>
      <c r="P865">
        <v>0</v>
      </c>
      <c r="Q865">
        <f>Sheet1__3_1_1_1[[#This Row],[Gross_Revenue]]-Sheet1__3_1_1_1[[#This Row],[Discount_Amount]]</f>
        <v>120.9</v>
      </c>
      <c r="R865">
        <v>66.5</v>
      </c>
      <c r="S865">
        <f>Sheet1__3_1_1_1[[#This Row],[Net_Revenue]]-Sheet1__3_1_1_1[[#This Row],[COGS]]</f>
        <v>54.400000000000006</v>
      </c>
    </row>
    <row r="866" spans="1:19" x14ac:dyDescent="0.25">
      <c r="A866" t="s">
        <v>961</v>
      </c>
      <c r="B866" s="1">
        <v>44626</v>
      </c>
      <c r="C866" t="s">
        <v>44</v>
      </c>
      <c r="D866" t="s">
        <v>65</v>
      </c>
      <c r="E866" t="s">
        <v>63</v>
      </c>
      <c r="F866" t="s">
        <v>22</v>
      </c>
      <c r="G866" t="s">
        <v>23</v>
      </c>
      <c r="H866" t="s">
        <v>41</v>
      </c>
      <c r="I866" t="s">
        <v>42</v>
      </c>
      <c r="J866" t="s">
        <v>35</v>
      </c>
      <c r="K866" t="s">
        <v>53</v>
      </c>
      <c r="L866">
        <v>14.32</v>
      </c>
      <c r="M866">
        <v>28</v>
      </c>
      <c r="N866" s="2">
        <v>0.05</v>
      </c>
      <c r="O866">
        <v>400.96000000000004</v>
      </c>
      <c r="P866">
        <v>20.048000000000002</v>
      </c>
      <c r="Q866">
        <f>Sheet1__3_1_1_1[[#This Row],[Gross_Revenue]]-Sheet1__3_1_1_1[[#This Row],[Discount_Amount]]</f>
        <v>380.91200000000003</v>
      </c>
      <c r="R866">
        <v>209.5</v>
      </c>
      <c r="S866">
        <f>Sheet1__3_1_1_1[[#This Row],[Net_Revenue]]-Sheet1__3_1_1_1[[#This Row],[COGS]]</f>
        <v>171.41200000000003</v>
      </c>
    </row>
    <row r="867" spans="1:19" x14ac:dyDescent="0.25">
      <c r="A867" t="s">
        <v>962</v>
      </c>
      <c r="B867" s="1">
        <v>45115</v>
      </c>
      <c r="C867" t="s">
        <v>19</v>
      </c>
      <c r="D867" t="s">
        <v>91</v>
      </c>
      <c r="E867" t="s">
        <v>66</v>
      </c>
      <c r="F867" t="s">
        <v>69</v>
      </c>
      <c r="G867" t="s">
        <v>190</v>
      </c>
      <c r="H867" t="s">
        <v>59</v>
      </c>
      <c r="I867" t="s">
        <v>60</v>
      </c>
      <c r="J867" t="s">
        <v>35</v>
      </c>
      <c r="K867" t="s">
        <v>36</v>
      </c>
      <c r="L867">
        <v>18.350000000000001</v>
      </c>
      <c r="M867">
        <v>9</v>
      </c>
      <c r="N867" s="2">
        <v>0</v>
      </c>
      <c r="O867">
        <v>165.15</v>
      </c>
      <c r="P867">
        <v>0</v>
      </c>
      <c r="Q867">
        <f>Sheet1__3_1_1_1[[#This Row],[Gross_Revenue]]-Sheet1__3_1_1_1[[#This Row],[Discount_Amount]]</f>
        <v>165.15</v>
      </c>
      <c r="R867">
        <v>62.76</v>
      </c>
      <c r="S867">
        <f>Sheet1__3_1_1_1[[#This Row],[Net_Revenue]]-Sheet1__3_1_1_1[[#This Row],[COGS]]</f>
        <v>102.39000000000001</v>
      </c>
    </row>
    <row r="868" spans="1:19" x14ac:dyDescent="0.25">
      <c r="A868" t="s">
        <v>963</v>
      </c>
      <c r="B868" s="1">
        <v>44997</v>
      </c>
      <c r="C868" t="s">
        <v>44</v>
      </c>
      <c r="D868" t="s">
        <v>51</v>
      </c>
      <c r="E868" t="s">
        <v>39</v>
      </c>
      <c r="F868" t="s">
        <v>69</v>
      </c>
      <c r="G868" t="s">
        <v>126</v>
      </c>
      <c r="H868" t="s">
        <v>87</v>
      </c>
      <c r="I868" t="s">
        <v>48</v>
      </c>
      <c r="J868" t="s">
        <v>89</v>
      </c>
      <c r="K868" t="s">
        <v>36</v>
      </c>
      <c r="L868">
        <v>30.9</v>
      </c>
      <c r="M868">
        <v>22</v>
      </c>
      <c r="N868" s="2">
        <v>0.2</v>
      </c>
      <c r="O868">
        <v>679.8</v>
      </c>
      <c r="P868">
        <v>135.96</v>
      </c>
      <c r="Q868">
        <f>Sheet1__3_1_1_1[[#This Row],[Gross_Revenue]]-Sheet1__3_1_1_1[[#This Row],[Discount_Amount]]</f>
        <v>543.83999999999992</v>
      </c>
      <c r="R868">
        <v>206.66</v>
      </c>
      <c r="S868">
        <f>Sheet1__3_1_1_1[[#This Row],[Net_Revenue]]-Sheet1__3_1_1_1[[#This Row],[COGS]]</f>
        <v>337.17999999999995</v>
      </c>
    </row>
    <row r="869" spans="1:19" x14ac:dyDescent="0.25">
      <c r="A869" t="s">
        <v>964</v>
      </c>
      <c r="B869" s="1">
        <v>44851</v>
      </c>
      <c r="C869" t="s">
        <v>29</v>
      </c>
      <c r="D869" t="s">
        <v>62</v>
      </c>
      <c r="E869" t="s">
        <v>21</v>
      </c>
      <c r="F869" t="s">
        <v>69</v>
      </c>
      <c r="G869" t="s">
        <v>73</v>
      </c>
      <c r="H869" t="s">
        <v>47</v>
      </c>
      <c r="I869" t="s">
        <v>25</v>
      </c>
      <c r="J869" t="s">
        <v>94</v>
      </c>
      <c r="K869" t="s">
        <v>36</v>
      </c>
      <c r="L869">
        <v>14.51</v>
      </c>
      <c r="M869">
        <v>7</v>
      </c>
      <c r="N869" s="2">
        <v>0</v>
      </c>
      <c r="O869">
        <v>101.57</v>
      </c>
      <c r="P869">
        <v>0</v>
      </c>
      <c r="Q869">
        <f>Sheet1__3_1_1_1[[#This Row],[Gross_Revenue]]-Sheet1__3_1_1_1[[#This Row],[Discount_Amount]]</f>
        <v>101.57</v>
      </c>
      <c r="R869">
        <v>38.6</v>
      </c>
      <c r="S869">
        <f>Sheet1__3_1_1_1[[#This Row],[Net_Revenue]]-Sheet1__3_1_1_1[[#This Row],[COGS]]</f>
        <v>62.969999999999992</v>
      </c>
    </row>
    <row r="870" spans="1:19" x14ac:dyDescent="0.25">
      <c r="A870" t="s">
        <v>965</v>
      </c>
      <c r="B870" s="1">
        <v>44828</v>
      </c>
      <c r="C870" t="s">
        <v>99</v>
      </c>
      <c r="D870" t="s">
        <v>100</v>
      </c>
      <c r="E870" t="s">
        <v>39</v>
      </c>
      <c r="F870" t="s">
        <v>55</v>
      </c>
      <c r="G870" t="s">
        <v>120</v>
      </c>
      <c r="H870" t="s">
        <v>108</v>
      </c>
      <c r="I870" t="s">
        <v>60</v>
      </c>
      <c r="J870" t="s">
        <v>49</v>
      </c>
      <c r="K870" t="s">
        <v>36</v>
      </c>
      <c r="L870">
        <v>99.74</v>
      </c>
      <c r="M870">
        <v>2</v>
      </c>
      <c r="N870" s="2">
        <v>0</v>
      </c>
      <c r="O870">
        <v>199.48</v>
      </c>
      <c r="P870">
        <v>0</v>
      </c>
      <c r="Q870">
        <f>Sheet1__3_1_1_1[[#This Row],[Gross_Revenue]]-Sheet1__3_1_1_1[[#This Row],[Discount_Amount]]</f>
        <v>199.48</v>
      </c>
      <c r="R870">
        <v>83.78</v>
      </c>
      <c r="S870">
        <f>Sheet1__3_1_1_1[[#This Row],[Net_Revenue]]-Sheet1__3_1_1_1[[#This Row],[COGS]]</f>
        <v>115.69999999999999</v>
      </c>
    </row>
    <row r="871" spans="1:19" x14ac:dyDescent="0.25">
      <c r="A871" t="s">
        <v>966</v>
      </c>
      <c r="B871" s="1">
        <v>44717</v>
      </c>
      <c r="C871" t="s">
        <v>29</v>
      </c>
      <c r="D871" t="s">
        <v>62</v>
      </c>
      <c r="E871" t="s">
        <v>39</v>
      </c>
      <c r="F871" t="s">
        <v>22</v>
      </c>
      <c r="G871" t="s">
        <v>46</v>
      </c>
      <c r="H871" t="s">
        <v>52</v>
      </c>
      <c r="I871" t="s">
        <v>25</v>
      </c>
      <c r="J871" t="s">
        <v>94</v>
      </c>
      <c r="K871" t="s">
        <v>36</v>
      </c>
      <c r="L871">
        <v>16.57</v>
      </c>
      <c r="M871">
        <v>24</v>
      </c>
      <c r="N871" s="2">
        <v>0.1</v>
      </c>
      <c r="O871">
        <v>397.68</v>
      </c>
      <c r="P871">
        <v>39.768000000000001</v>
      </c>
      <c r="Q871">
        <f>Sheet1__3_1_1_1[[#This Row],[Gross_Revenue]]-Sheet1__3_1_1_1[[#This Row],[Discount_Amount]]</f>
        <v>357.91200000000003</v>
      </c>
      <c r="R871">
        <v>196.85</v>
      </c>
      <c r="S871">
        <f>Sheet1__3_1_1_1[[#This Row],[Net_Revenue]]-Sheet1__3_1_1_1[[#This Row],[COGS]]</f>
        <v>161.06200000000004</v>
      </c>
    </row>
    <row r="872" spans="1:19" x14ac:dyDescent="0.25">
      <c r="A872" t="s">
        <v>967</v>
      </c>
      <c r="B872" s="1">
        <v>45105</v>
      </c>
      <c r="C872" t="s">
        <v>99</v>
      </c>
      <c r="D872" t="s">
        <v>132</v>
      </c>
      <c r="E872" t="s">
        <v>66</v>
      </c>
      <c r="F872" t="s">
        <v>22</v>
      </c>
      <c r="G872" t="s">
        <v>149</v>
      </c>
      <c r="H872" t="s">
        <v>57</v>
      </c>
      <c r="I872" t="s">
        <v>34</v>
      </c>
      <c r="J872" t="s">
        <v>89</v>
      </c>
      <c r="K872" t="s">
        <v>36</v>
      </c>
      <c r="L872">
        <v>22.25</v>
      </c>
      <c r="M872">
        <v>29</v>
      </c>
      <c r="N872" s="2">
        <v>0.1</v>
      </c>
      <c r="O872">
        <v>645.25</v>
      </c>
      <c r="P872">
        <v>64.525000000000006</v>
      </c>
      <c r="Q872">
        <f>Sheet1__3_1_1_1[[#This Row],[Gross_Revenue]]-Sheet1__3_1_1_1[[#This Row],[Discount_Amount]]</f>
        <v>580.72500000000002</v>
      </c>
      <c r="R872">
        <v>319.39999999999998</v>
      </c>
      <c r="S872">
        <f>Sheet1__3_1_1_1[[#This Row],[Net_Revenue]]-Sheet1__3_1_1_1[[#This Row],[COGS]]</f>
        <v>261.32500000000005</v>
      </c>
    </row>
    <row r="873" spans="1:19" x14ac:dyDescent="0.25">
      <c r="A873" t="s">
        <v>968</v>
      </c>
      <c r="B873" s="1">
        <v>45073</v>
      </c>
      <c r="C873" t="s">
        <v>44</v>
      </c>
      <c r="D873" t="s">
        <v>65</v>
      </c>
      <c r="E873" t="s">
        <v>39</v>
      </c>
      <c r="F873" t="s">
        <v>22</v>
      </c>
      <c r="G873" t="s">
        <v>149</v>
      </c>
      <c r="H873" t="s">
        <v>41</v>
      </c>
      <c r="I873" t="s">
        <v>42</v>
      </c>
      <c r="J873" t="s">
        <v>35</v>
      </c>
      <c r="K873" t="s">
        <v>53</v>
      </c>
      <c r="L873">
        <v>21.92</v>
      </c>
      <c r="M873">
        <v>22</v>
      </c>
      <c r="N873" s="2">
        <v>0</v>
      </c>
      <c r="O873">
        <v>482.24</v>
      </c>
      <c r="P873">
        <v>0</v>
      </c>
      <c r="Q873">
        <f>Sheet1__3_1_1_1[[#This Row],[Gross_Revenue]]-Sheet1__3_1_1_1[[#This Row],[Discount_Amount]]</f>
        <v>482.24</v>
      </c>
      <c r="R873">
        <v>265.23</v>
      </c>
      <c r="S873">
        <f>Sheet1__3_1_1_1[[#This Row],[Net_Revenue]]-Sheet1__3_1_1_1[[#This Row],[COGS]]</f>
        <v>217.01</v>
      </c>
    </row>
    <row r="874" spans="1:19" x14ac:dyDescent="0.25">
      <c r="A874" t="s">
        <v>969</v>
      </c>
      <c r="B874" s="1">
        <v>45251</v>
      </c>
      <c r="C874" t="s">
        <v>19</v>
      </c>
      <c r="D874" t="s">
        <v>91</v>
      </c>
      <c r="E874" t="s">
        <v>21</v>
      </c>
      <c r="F874" t="s">
        <v>22</v>
      </c>
      <c r="G874" t="s">
        <v>23</v>
      </c>
      <c r="H874" t="s">
        <v>108</v>
      </c>
      <c r="I874" t="s">
        <v>42</v>
      </c>
      <c r="J874" t="s">
        <v>26</v>
      </c>
      <c r="K874" t="s">
        <v>36</v>
      </c>
      <c r="L874">
        <v>13.85</v>
      </c>
      <c r="M874">
        <v>24</v>
      </c>
      <c r="N874" s="2">
        <v>0.15</v>
      </c>
      <c r="O874">
        <v>332.4</v>
      </c>
      <c r="P874">
        <v>49.859999999999992</v>
      </c>
      <c r="Q874">
        <f>Sheet1__3_1_1_1[[#This Row],[Gross_Revenue]]-Sheet1__3_1_1_1[[#This Row],[Discount_Amount]]</f>
        <v>282.53999999999996</v>
      </c>
      <c r="R874">
        <v>155.4</v>
      </c>
      <c r="S874">
        <f>Sheet1__3_1_1_1[[#This Row],[Net_Revenue]]-Sheet1__3_1_1_1[[#This Row],[COGS]]</f>
        <v>127.13999999999996</v>
      </c>
    </row>
    <row r="875" spans="1:19" x14ac:dyDescent="0.25">
      <c r="A875" t="s">
        <v>970</v>
      </c>
      <c r="B875" s="1">
        <v>44895</v>
      </c>
      <c r="C875" t="s">
        <v>19</v>
      </c>
      <c r="D875" t="s">
        <v>20</v>
      </c>
      <c r="E875" t="s">
        <v>39</v>
      </c>
      <c r="F875" t="s">
        <v>69</v>
      </c>
      <c r="G875" t="s">
        <v>126</v>
      </c>
      <c r="H875" t="s">
        <v>47</v>
      </c>
      <c r="I875" t="s">
        <v>42</v>
      </c>
      <c r="J875" t="s">
        <v>35</v>
      </c>
      <c r="K875" t="s">
        <v>36</v>
      </c>
      <c r="L875">
        <v>30.84</v>
      </c>
      <c r="M875">
        <v>11</v>
      </c>
      <c r="N875" s="2">
        <v>0</v>
      </c>
      <c r="O875">
        <v>339.24</v>
      </c>
      <c r="P875">
        <v>0</v>
      </c>
      <c r="Q875">
        <f>Sheet1__3_1_1_1[[#This Row],[Gross_Revenue]]-Sheet1__3_1_1_1[[#This Row],[Discount_Amount]]</f>
        <v>339.24</v>
      </c>
      <c r="R875">
        <v>128.91</v>
      </c>
      <c r="S875">
        <f>Sheet1__3_1_1_1[[#This Row],[Net_Revenue]]-Sheet1__3_1_1_1[[#This Row],[COGS]]</f>
        <v>210.33</v>
      </c>
    </row>
    <row r="876" spans="1:19" x14ac:dyDescent="0.25">
      <c r="A876" t="s">
        <v>971</v>
      </c>
      <c r="B876" s="1">
        <v>44896</v>
      </c>
      <c r="C876" t="s">
        <v>44</v>
      </c>
      <c r="D876" t="s">
        <v>45</v>
      </c>
      <c r="E876" t="s">
        <v>63</v>
      </c>
      <c r="F876" t="s">
        <v>69</v>
      </c>
      <c r="G876" t="s">
        <v>73</v>
      </c>
      <c r="H876" t="s">
        <v>41</v>
      </c>
      <c r="I876" t="s">
        <v>34</v>
      </c>
      <c r="J876" t="s">
        <v>49</v>
      </c>
      <c r="K876" t="s">
        <v>27</v>
      </c>
      <c r="L876">
        <v>14.88</v>
      </c>
      <c r="M876">
        <v>25</v>
      </c>
      <c r="N876" s="2">
        <v>0</v>
      </c>
      <c r="O876">
        <v>372</v>
      </c>
      <c r="P876">
        <v>0</v>
      </c>
      <c r="Q876">
        <f>Sheet1__3_1_1_1[[#This Row],[Gross_Revenue]]-Sheet1__3_1_1_1[[#This Row],[Discount_Amount]]</f>
        <v>372</v>
      </c>
      <c r="R876">
        <v>141.36000000000001</v>
      </c>
      <c r="S876">
        <f>Sheet1__3_1_1_1[[#This Row],[Net_Revenue]]-Sheet1__3_1_1_1[[#This Row],[COGS]]</f>
        <v>230.64</v>
      </c>
    </row>
    <row r="877" spans="1:19" x14ac:dyDescent="0.25">
      <c r="A877" t="s">
        <v>972</v>
      </c>
      <c r="B877" s="1">
        <v>45055</v>
      </c>
      <c r="C877" t="s">
        <v>19</v>
      </c>
      <c r="D877" t="s">
        <v>20</v>
      </c>
      <c r="E877" t="s">
        <v>39</v>
      </c>
      <c r="F877" t="s">
        <v>69</v>
      </c>
      <c r="G877" t="s">
        <v>101</v>
      </c>
      <c r="H877" t="s">
        <v>108</v>
      </c>
      <c r="I877" t="s">
        <v>34</v>
      </c>
      <c r="J877" t="s">
        <v>35</v>
      </c>
      <c r="K877" t="s">
        <v>36</v>
      </c>
      <c r="L877">
        <v>9.9</v>
      </c>
      <c r="M877">
        <v>26</v>
      </c>
      <c r="N877" s="2">
        <v>0.1</v>
      </c>
      <c r="O877">
        <v>257.40000000000003</v>
      </c>
      <c r="P877">
        <v>25.740000000000006</v>
      </c>
      <c r="Q877">
        <f>Sheet1__3_1_1_1[[#This Row],[Gross_Revenue]]-Sheet1__3_1_1_1[[#This Row],[Discount_Amount]]</f>
        <v>231.66000000000003</v>
      </c>
      <c r="R877">
        <v>88.03</v>
      </c>
      <c r="S877">
        <f>Sheet1__3_1_1_1[[#This Row],[Net_Revenue]]-Sheet1__3_1_1_1[[#This Row],[COGS]]</f>
        <v>143.63000000000002</v>
      </c>
    </row>
    <row r="878" spans="1:19" x14ac:dyDescent="0.25">
      <c r="A878" t="s">
        <v>973</v>
      </c>
      <c r="B878" s="1">
        <v>45226</v>
      </c>
      <c r="C878" t="s">
        <v>29</v>
      </c>
      <c r="D878" t="s">
        <v>38</v>
      </c>
      <c r="E878" t="s">
        <v>39</v>
      </c>
      <c r="F878" t="s">
        <v>31</v>
      </c>
      <c r="G878" t="s">
        <v>122</v>
      </c>
      <c r="H878" t="s">
        <v>47</v>
      </c>
      <c r="I878" t="s">
        <v>48</v>
      </c>
      <c r="J878" t="s">
        <v>89</v>
      </c>
      <c r="K878" t="s">
        <v>143</v>
      </c>
      <c r="L878">
        <v>479.51</v>
      </c>
      <c r="M878">
        <v>2</v>
      </c>
      <c r="N878" s="2">
        <v>0.2</v>
      </c>
      <c r="O878">
        <v>959.02</v>
      </c>
      <c r="P878">
        <v>191.804</v>
      </c>
      <c r="Q878">
        <f>Sheet1__3_1_1_1[[#This Row],[Gross_Revenue]]-Sheet1__3_1_1_1[[#This Row],[Discount_Amount]]</f>
        <v>767.21600000000001</v>
      </c>
      <c r="R878">
        <v>368.27</v>
      </c>
      <c r="S878">
        <f>Sheet1__3_1_1_1[[#This Row],[Net_Revenue]]-Sheet1__3_1_1_1[[#This Row],[COGS]]</f>
        <v>398.94600000000003</v>
      </c>
    </row>
    <row r="879" spans="1:19" x14ac:dyDescent="0.25">
      <c r="A879" t="s">
        <v>974</v>
      </c>
      <c r="B879" s="1">
        <v>45000</v>
      </c>
      <c r="C879" t="s">
        <v>44</v>
      </c>
      <c r="D879" t="s">
        <v>51</v>
      </c>
      <c r="E879" t="s">
        <v>21</v>
      </c>
      <c r="F879" t="s">
        <v>31</v>
      </c>
      <c r="G879" t="s">
        <v>93</v>
      </c>
      <c r="H879" t="s">
        <v>52</v>
      </c>
      <c r="I879" t="s">
        <v>34</v>
      </c>
      <c r="J879" t="s">
        <v>26</v>
      </c>
      <c r="K879" t="s">
        <v>53</v>
      </c>
      <c r="L879">
        <v>166.33</v>
      </c>
      <c r="M879">
        <v>2</v>
      </c>
      <c r="N879" s="2">
        <v>0</v>
      </c>
      <c r="O879">
        <v>332.66</v>
      </c>
      <c r="P879">
        <v>0</v>
      </c>
      <c r="Q879">
        <f>Sheet1__3_1_1_1[[#This Row],[Gross_Revenue]]-Sheet1__3_1_1_1[[#This Row],[Discount_Amount]]</f>
        <v>332.66</v>
      </c>
      <c r="R879">
        <v>159.68</v>
      </c>
      <c r="S879">
        <f>Sheet1__3_1_1_1[[#This Row],[Net_Revenue]]-Sheet1__3_1_1_1[[#This Row],[COGS]]</f>
        <v>172.98000000000002</v>
      </c>
    </row>
    <row r="880" spans="1:19" x14ac:dyDescent="0.25">
      <c r="A880" t="s">
        <v>975</v>
      </c>
      <c r="B880" s="1">
        <v>44718</v>
      </c>
      <c r="C880" t="s">
        <v>99</v>
      </c>
      <c r="D880" t="s">
        <v>100</v>
      </c>
      <c r="E880" t="s">
        <v>66</v>
      </c>
      <c r="F880" t="s">
        <v>31</v>
      </c>
      <c r="G880" t="s">
        <v>40</v>
      </c>
      <c r="H880" t="s">
        <v>57</v>
      </c>
      <c r="I880" t="s">
        <v>25</v>
      </c>
      <c r="J880" t="s">
        <v>94</v>
      </c>
      <c r="K880" t="s">
        <v>36</v>
      </c>
      <c r="L880">
        <v>274.20999999999998</v>
      </c>
      <c r="M880">
        <v>7</v>
      </c>
      <c r="N880" s="2">
        <v>0</v>
      </c>
      <c r="O880">
        <v>1919.4699999999998</v>
      </c>
      <c r="P880">
        <v>0</v>
      </c>
      <c r="Q880">
        <f>Sheet1__3_1_1_1[[#This Row],[Gross_Revenue]]-Sheet1__3_1_1_1[[#This Row],[Discount_Amount]]</f>
        <v>1919.4699999999998</v>
      </c>
      <c r="R880">
        <v>921.35</v>
      </c>
      <c r="S880">
        <f>Sheet1__3_1_1_1[[#This Row],[Net_Revenue]]-Sheet1__3_1_1_1[[#This Row],[COGS]]</f>
        <v>998.11999999999978</v>
      </c>
    </row>
    <row r="881" spans="1:19" x14ac:dyDescent="0.25">
      <c r="A881" t="s">
        <v>976</v>
      </c>
      <c r="B881" s="1">
        <v>45154</v>
      </c>
      <c r="C881" t="s">
        <v>99</v>
      </c>
      <c r="D881" t="s">
        <v>100</v>
      </c>
      <c r="E881" t="s">
        <v>39</v>
      </c>
      <c r="F881" t="s">
        <v>79</v>
      </c>
      <c r="G881" t="s">
        <v>96</v>
      </c>
      <c r="H881" t="s">
        <v>87</v>
      </c>
      <c r="I881" t="s">
        <v>48</v>
      </c>
      <c r="J881" t="s">
        <v>49</v>
      </c>
      <c r="K881" t="s">
        <v>36</v>
      </c>
      <c r="L881">
        <v>353.2</v>
      </c>
      <c r="M881">
        <v>2</v>
      </c>
      <c r="N881" s="2">
        <v>0.2</v>
      </c>
      <c r="O881">
        <v>706.4</v>
      </c>
      <c r="P881">
        <v>141.28</v>
      </c>
      <c r="Q881">
        <f>Sheet1__3_1_1_1[[#This Row],[Gross_Revenue]]-Sheet1__3_1_1_1[[#This Row],[Discount_Amount]]</f>
        <v>565.12</v>
      </c>
      <c r="R881">
        <v>350.37</v>
      </c>
      <c r="S881">
        <f>Sheet1__3_1_1_1[[#This Row],[Net_Revenue]]-Sheet1__3_1_1_1[[#This Row],[COGS]]</f>
        <v>214.75</v>
      </c>
    </row>
    <row r="882" spans="1:19" x14ac:dyDescent="0.25">
      <c r="A882" t="s">
        <v>977</v>
      </c>
      <c r="B882" s="1">
        <v>44982</v>
      </c>
      <c r="C882" t="s">
        <v>99</v>
      </c>
      <c r="D882" t="s">
        <v>100</v>
      </c>
      <c r="E882" t="s">
        <v>63</v>
      </c>
      <c r="F882" t="s">
        <v>22</v>
      </c>
      <c r="G882" t="s">
        <v>149</v>
      </c>
      <c r="H882" t="s">
        <v>108</v>
      </c>
      <c r="I882" t="s">
        <v>25</v>
      </c>
      <c r="J882" t="s">
        <v>94</v>
      </c>
      <c r="K882" t="s">
        <v>53</v>
      </c>
      <c r="L882" t="s">
        <v>1147</v>
      </c>
      <c r="M882">
        <v>22</v>
      </c>
      <c r="N882" s="2">
        <v>0.2</v>
      </c>
      <c r="O882">
        <v>0</v>
      </c>
      <c r="P882">
        <v>0</v>
      </c>
      <c r="Q882">
        <f>Sheet1__3_1_1_1[[#This Row],[Gross_Revenue]]-Sheet1__3_1_1_1[[#This Row],[Discount_Amount]]</f>
        <v>0</v>
      </c>
      <c r="R882" t="s">
        <v>1147</v>
      </c>
      <c r="S882" t="e">
        <f>Sheet1__3_1_1_1[[#This Row],[Net_Revenue]]-Sheet1__3_1_1_1[[#This Row],[COGS]]</f>
        <v>#VALUE!</v>
      </c>
    </row>
    <row r="883" spans="1:19" x14ac:dyDescent="0.25">
      <c r="A883" t="s">
        <v>978</v>
      </c>
      <c r="B883" s="1">
        <v>44832</v>
      </c>
      <c r="C883" t="s">
        <v>29</v>
      </c>
      <c r="D883" t="s">
        <v>38</v>
      </c>
      <c r="E883" t="s">
        <v>39</v>
      </c>
      <c r="F883" t="s">
        <v>31</v>
      </c>
      <c r="G883" t="s">
        <v>32</v>
      </c>
      <c r="H883" t="s">
        <v>47</v>
      </c>
      <c r="I883" t="s">
        <v>34</v>
      </c>
      <c r="J883" t="s">
        <v>35</v>
      </c>
      <c r="K883" t="s">
        <v>36</v>
      </c>
      <c r="L883">
        <v>391.48</v>
      </c>
      <c r="M883">
        <v>8</v>
      </c>
      <c r="N883" s="2">
        <v>0</v>
      </c>
      <c r="O883">
        <v>3131.84</v>
      </c>
      <c r="P883">
        <v>0</v>
      </c>
      <c r="Q883">
        <f>Sheet1__3_1_1_1[[#This Row],[Gross_Revenue]]-Sheet1__3_1_1_1[[#This Row],[Discount_Amount]]</f>
        <v>3131.84</v>
      </c>
      <c r="R883">
        <v>1503.28</v>
      </c>
      <c r="S883">
        <f>Sheet1__3_1_1_1[[#This Row],[Net_Revenue]]-Sheet1__3_1_1_1[[#This Row],[COGS]]</f>
        <v>1628.5600000000002</v>
      </c>
    </row>
    <row r="884" spans="1:19" x14ac:dyDescent="0.25">
      <c r="A884" t="s">
        <v>979</v>
      </c>
      <c r="B884" s="1">
        <v>45085</v>
      </c>
      <c r="C884" t="s">
        <v>99</v>
      </c>
      <c r="D884" t="s">
        <v>132</v>
      </c>
      <c r="E884" t="s">
        <v>66</v>
      </c>
      <c r="F884" t="s">
        <v>31</v>
      </c>
      <c r="G884" t="s">
        <v>40</v>
      </c>
      <c r="H884" t="s">
        <v>59</v>
      </c>
      <c r="I884" t="s">
        <v>42</v>
      </c>
      <c r="J884" t="s">
        <v>89</v>
      </c>
      <c r="K884" t="s">
        <v>27</v>
      </c>
      <c r="L884">
        <v>236.53</v>
      </c>
      <c r="M884">
        <v>1</v>
      </c>
      <c r="N884" s="2">
        <v>0.2</v>
      </c>
      <c r="O884">
        <v>236.53</v>
      </c>
      <c r="P884">
        <v>47.306000000000004</v>
      </c>
      <c r="Q884">
        <f>Sheet1__3_1_1_1[[#This Row],[Gross_Revenue]]-Sheet1__3_1_1_1[[#This Row],[Discount_Amount]]</f>
        <v>189.22399999999999</v>
      </c>
      <c r="R884">
        <v>90.83</v>
      </c>
      <c r="S884">
        <f>Sheet1__3_1_1_1[[#This Row],[Net_Revenue]]-Sheet1__3_1_1_1[[#This Row],[COGS]]</f>
        <v>98.393999999999991</v>
      </c>
    </row>
    <row r="885" spans="1:19" x14ac:dyDescent="0.25">
      <c r="A885" t="s">
        <v>980</v>
      </c>
      <c r="B885" s="1">
        <v>44607</v>
      </c>
      <c r="C885" t="s">
        <v>29</v>
      </c>
      <c r="D885" t="s">
        <v>62</v>
      </c>
      <c r="E885" t="s">
        <v>66</v>
      </c>
      <c r="F885" t="s">
        <v>69</v>
      </c>
      <c r="G885" t="s">
        <v>101</v>
      </c>
      <c r="H885" t="s">
        <v>47</v>
      </c>
      <c r="I885" t="s">
        <v>25</v>
      </c>
      <c r="J885" t="s">
        <v>35</v>
      </c>
      <c r="K885" t="s">
        <v>36</v>
      </c>
      <c r="L885">
        <v>6.88</v>
      </c>
      <c r="M885">
        <v>14</v>
      </c>
      <c r="N885" s="2">
        <v>0.05</v>
      </c>
      <c r="O885">
        <v>96.32</v>
      </c>
      <c r="P885">
        <v>4.8159999999999998</v>
      </c>
      <c r="Q885">
        <f>Sheet1__3_1_1_1[[#This Row],[Gross_Revenue]]-Sheet1__3_1_1_1[[#This Row],[Discount_Amount]]</f>
        <v>91.503999999999991</v>
      </c>
      <c r="R885">
        <v>34.770000000000003</v>
      </c>
      <c r="S885">
        <f>Sheet1__3_1_1_1[[#This Row],[Net_Revenue]]-Sheet1__3_1_1_1[[#This Row],[COGS]]</f>
        <v>56.733999999999988</v>
      </c>
    </row>
    <row r="886" spans="1:19" x14ac:dyDescent="0.25">
      <c r="A886" t="s">
        <v>981</v>
      </c>
      <c r="B886" s="1">
        <v>44721</v>
      </c>
      <c r="C886" t="s">
        <v>29</v>
      </c>
      <c r="D886" t="s">
        <v>38</v>
      </c>
      <c r="E886" t="s">
        <v>21</v>
      </c>
      <c r="F886" t="s">
        <v>31</v>
      </c>
      <c r="G886" t="s">
        <v>40</v>
      </c>
      <c r="H886" t="s">
        <v>71</v>
      </c>
      <c r="I886" t="s">
        <v>60</v>
      </c>
      <c r="J886" t="s">
        <v>49</v>
      </c>
      <c r="K886" t="s">
        <v>53</v>
      </c>
      <c r="L886">
        <v>197.69</v>
      </c>
      <c r="M886">
        <v>8</v>
      </c>
      <c r="N886" s="2">
        <v>0.1</v>
      </c>
      <c r="O886">
        <v>1581.52</v>
      </c>
      <c r="P886">
        <v>158.15200000000002</v>
      </c>
      <c r="Q886">
        <f>Sheet1__3_1_1_1[[#This Row],[Gross_Revenue]]-Sheet1__3_1_1_1[[#This Row],[Discount_Amount]]</f>
        <v>1423.3679999999999</v>
      </c>
      <c r="R886">
        <v>683.22</v>
      </c>
      <c r="S886">
        <f>Sheet1__3_1_1_1[[#This Row],[Net_Revenue]]-Sheet1__3_1_1_1[[#This Row],[COGS]]</f>
        <v>740.14799999999991</v>
      </c>
    </row>
    <row r="887" spans="1:19" x14ac:dyDescent="0.25">
      <c r="A887" t="s">
        <v>982</v>
      </c>
      <c r="B887" s="1">
        <v>44643</v>
      </c>
      <c r="C887" t="s">
        <v>44</v>
      </c>
      <c r="D887" t="s">
        <v>51</v>
      </c>
      <c r="E887" t="s">
        <v>63</v>
      </c>
      <c r="F887" t="s">
        <v>22</v>
      </c>
      <c r="G887" t="s">
        <v>46</v>
      </c>
      <c r="H887" t="s">
        <v>47</v>
      </c>
      <c r="I887" t="s">
        <v>42</v>
      </c>
      <c r="J887" t="s">
        <v>49</v>
      </c>
      <c r="K887" t="s">
        <v>53</v>
      </c>
      <c r="L887">
        <v>17.55</v>
      </c>
      <c r="M887">
        <v>29</v>
      </c>
      <c r="N887" s="2">
        <v>0.05</v>
      </c>
      <c r="O887">
        <v>508.95000000000005</v>
      </c>
      <c r="P887">
        <v>25.447500000000005</v>
      </c>
      <c r="Q887">
        <f>Sheet1__3_1_1_1[[#This Row],[Gross_Revenue]]-Sheet1__3_1_1_1[[#This Row],[Discount_Amount]]</f>
        <v>483.50250000000005</v>
      </c>
      <c r="R887">
        <v>265.93</v>
      </c>
      <c r="S887">
        <f>Sheet1__3_1_1_1[[#This Row],[Net_Revenue]]-Sheet1__3_1_1_1[[#This Row],[COGS]]</f>
        <v>217.57250000000005</v>
      </c>
    </row>
    <row r="888" spans="1:19" x14ac:dyDescent="0.25">
      <c r="A888" t="s">
        <v>983</v>
      </c>
      <c r="B888" s="1">
        <v>45067</v>
      </c>
      <c r="C888" t="s">
        <v>29</v>
      </c>
      <c r="D888" t="s">
        <v>62</v>
      </c>
      <c r="E888" t="s">
        <v>63</v>
      </c>
      <c r="F888" t="s">
        <v>22</v>
      </c>
      <c r="G888" t="s">
        <v>149</v>
      </c>
      <c r="H888" t="s">
        <v>41</v>
      </c>
      <c r="I888" t="s">
        <v>34</v>
      </c>
      <c r="J888" t="s">
        <v>94</v>
      </c>
      <c r="K888" t="s">
        <v>27</v>
      </c>
      <c r="L888">
        <v>26.51</v>
      </c>
      <c r="M888">
        <v>16</v>
      </c>
      <c r="N888" s="2">
        <v>0</v>
      </c>
      <c r="O888">
        <v>424.16</v>
      </c>
      <c r="P888">
        <v>0</v>
      </c>
      <c r="Q888">
        <f>Sheet1__3_1_1_1[[#This Row],[Gross_Revenue]]-Sheet1__3_1_1_1[[#This Row],[Discount_Amount]]</f>
        <v>424.16</v>
      </c>
      <c r="R888">
        <v>233.29</v>
      </c>
      <c r="S888">
        <f>Sheet1__3_1_1_1[[#This Row],[Net_Revenue]]-Sheet1__3_1_1_1[[#This Row],[COGS]]</f>
        <v>190.87000000000003</v>
      </c>
    </row>
    <row r="889" spans="1:19" x14ac:dyDescent="0.25">
      <c r="A889" t="s">
        <v>984</v>
      </c>
      <c r="B889" s="1">
        <v>44595</v>
      </c>
      <c r="C889" t="s">
        <v>19</v>
      </c>
      <c r="D889" t="s">
        <v>91</v>
      </c>
      <c r="E889" t="s">
        <v>66</v>
      </c>
      <c r="F889" t="s">
        <v>31</v>
      </c>
      <c r="G889" t="s">
        <v>122</v>
      </c>
      <c r="H889" t="s">
        <v>57</v>
      </c>
      <c r="I889" t="s">
        <v>25</v>
      </c>
      <c r="J889" t="s">
        <v>94</v>
      </c>
      <c r="K889" t="s">
        <v>53</v>
      </c>
      <c r="L889">
        <v>501.42</v>
      </c>
      <c r="M889">
        <v>3</v>
      </c>
      <c r="N889" s="2">
        <v>0</v>
      </c>
      <c r="O889">
        <v>1504.26</v>
      </c>
      <c r="P889">
        <v>0</v>
      </c>
      <c r="Q889">
        <f>Sheet1__3_1_1_1[[#This Row],[Gross_Revenue]]-Sheet1__3_1_1_1[[#This Row],[Discount_Amount]]</f>
        <v>1504.26</v>
      </c>
      <c r="R889">
        <v>722.04</v>
      </c>
      <c r="S889">
        <f>Sheet1__3_1_1_1[[#This Row],[Net_Revenue]]-Sheet1__3_1_1_1[[#This Row],[COGS]]</f>
        <v>782.22</v>
      </c>
    </row>
    <row r="890" spans="1:19" x14ac:dyDescent="0.25">
      <c r="A890" t="s">
        <v>985</v>
      </c>
      <c r="B890" s="1">
        <v>44800</v>
      </c>
      <c r="C890" t="s">
        <v>99</v>
      </c>
      <c r="D890" t="s">
        <v>132</v>
      </c>
      <c r="E890" t="s">
        <v>21</v>
      </c>
      <c r="F890" t="s">
        <v>22</v>
      </c>
      <c r="G890" t="s">
        <v>46</v>
      </c>
      <c r="H890" t="s">
        <v>41</v>
      </c>
      <c r="I890" t="s">
        <v>25</v>
      </c>
      <c r="J890" t="s">
        <v>94</v>
      </c>
      <c r="K890" t="s">
        <v>36</v>
      </c>
      <c r="L890">
        <v>18.84</v>
      </c>
      <c r="M890">
        <v>22</v>
      </c>
      <c r="N890" s="2">
        <v>0.15</v>
      </c>
      <c r="O890">
        <v>414.48</v>
      </c>
      <c r="P890">
        <v>62.171999999999997</v>
      </c>
      <c r="Q890">
        <f>Sheet1__3_1_1_1[[#This Row],[Gross_Revenue]]-Sheet1__3_1_1_1[[#This Row],[Discount_Amount]]</f>
        <v>352.30799999999999</v>
      </c>
      <c r="R890">
        <v>193.77</v>
      </c>
      <c r="S890">
        <f>Sheet1__3_1_1_1[[#This Row],[Net_Revenue]]-Sheet1__3_1_1_1[[#This Row],[COGS]]</f>
        <v>158.53799999999998</v>
      </c>
    </row>
    <row r="891" spans="1:19" x14ac:dyDescent="0.25">
      <c r="A891" t="s">
        <v>986</v>
      </c>
      <c r="B891" s="1">
        <v>44957</v>
      </c>
      <c r="C891" t="s">
        <v>19</v>
      </c>
      <c r="D891" t="s">
        <v>91</v>
      </c>
      <c r="E891" t="s">
        <v>39</v>
      </c>
      <c r="F891" t="s">
        <v>55</v>
      </c>
      <c r="G891" t="s">
        <v>103</v>
      </c>
      <c r="H891" t="s">
        <v>41</v>
      </c>
      <c r="I891" t="s">
        <v>48</v>
      </c>
      <c r="J891" t="s">
        <v>26</v>
      </c>
      <c r="K891" t="s">
        <v>36</v>
      </c>
      <c r="L891">
        <v>141.05000000000001</v>
      </c>
      <c r="M891">
        <v>3</v>
      </c>
      <c r="N891" s="2">
        <v>0.1</v>
      </c>
      <c r="O891">
        <v>423.15000000000003</v>
      </c>
      <c r="P891">
        <v>42.315000000000005</v>
      </c>
      <c r="Q891">
        <f>Sheet1__3_1_1_1[[#This Row],[Gross_Revenue]]-Sheet1__3_1_1_1[[#This Row],[Discount_Amount]]</f>
        <v>380.83500000000004</v>
      </c>
      <c r="R891">
        <v>159.94999999999999</v>
      </c>
      <c r="S891">
        <f>Sheet1__3_1_1_1[[#This Row],[Net_Revenue]]-Sheet1__3_1_1_1[[#This Row],[COGS]]</f>
        <v>220.88500000000005</v>
      </c>
    </row>
    <row r="892" spans="1:19" x14ac:dyDescent="0.25">
      <c r="A892" t="s">
        <v>987</v>
      </c>
      <c r="B892" s="1">
        <v>45257</v>
      </c>
      <c r="C892" t="s">
        <v>99</v>
      </c>
      <c r="D892" t="s">
        <v>148</v>
      </c>
      <c r="E892" t="s">
        <v>39</v>
      </c>
      <c r="F892" t="s">
        <v>31</v>
      </c>
      <c r="G892" t="s">
        <v>32</v>
      </c>
      <c r="H892" t="s">
        <v>106</v>
      </c>
      <c r="I892" t="s">
        <v>42</v>
      </c>
      <c r="J892" t="s">
        <v>35</v>
      </c>
      <c r="K892" t="s">
        <v>36</v>
      </c>
      <c r="L892">
        <v>452.93</v>
      </c>
      <c r="M892">
        <v>2</v>
      </c>
      <c r="N892" s="2">
        <v>0</v>
      </c>
      <c r="O892">
        <v>905.86</v>
      </c>
      <c r="P892">
        <v>0</v>
      </c>
      <c r="Q892">
        <f>Sheet1__3_1_1_1[[#This Row],[Gross_Revenue]]-Sheet1__3_1_1_1[[#This Row],[Discount_Amount]]</f>
        <v>905.86</v>
      </c>
      <c r="R892">
        <v>434.81</v>
      </c>
      <c r="S892">
        <f>Sheet1__3_1_1_1[[#This Row],[Net_Revenue]]-Sheet1__3_1_1_1[[#This Row],[COGS]]</f>
        <v>471.05</v>
      </c>
    </row>
    <row r="893" spans="1:19" x14ac:dyDescent="0.25">
      <c r="A893" t="s">
        <v>988</v>
      </c>
      <c r="B893" s="1">
        <v>45014</v>
      </c>
      <c r="C893" t="s">
        <v>19</v>
      </c>
      <c r="D893" t="s">
        <v>20</v>
      </c>
      <c r="E893" t="s">
        <v>21</v>
      </c>
      <c r="F893" t="s">
        <v>55</v>
      </c>
      <c r="G893" t="s">
        <v>67</v>
      </c>
      <c r="H893" t="s">
        <v>59</v>
      </c>
      <c r="I893" t="s">
        <v>48</v>
      </c>
      <c r="J893" t="s">
        <v>26</v>
      </c>
      <c r="K893" t="s">
        <v>27</v>
      </c>
      <c r="L893">
        <v>63.34</v>
      </c>
      <c r="M893">
        <v>4</v>
      </c>
      <c r="N893" s="2">
        <v>0</v>
      </c>
      <c r="O893">
        <v>253.36</v>
      </c>
      <c r="P893">
        <v>0</v>
      </c>
      <c r="Q893">
        <f>Sheet1__3_1_1_1[[#This Row],[Gross_Revenue]]-Sheet1__3_1_1_1[[#This Row],[Discount_Amount]]</f>
        <v>253.36</v>
      </c>
      <c r="R893">
        <v>106.41</v>
      </c>
      <c r="S893">
        <f>Sheet1__3_1_1_1[[#This Row],[Net_Revenue]]-Sheet1__3_1_1_1[[#This Row],[COGS]]</f>
        <v>146.95000000000002</v>
      </c>
    </row>
    <row r="894" spans="1:19" x14ac:dyDescent="0.25">
      <c r="A894" t="s">
        <v>989</v>
      </c>
      <c r="B894" s="1">
        <v>45037</v>
      </c>
      <c r="C894" t="s">
        <v>19</v>
      </c>
      <c r="D894" t="s">
        <v>20</v>
      </c>
      <c r="E894" t="s">
        <v>39</v>
      </c>
      <c r="F894" t="s">
        <v>79</v>
      </c>
      <c r="G894" t="s">
        <v>96</v>
      </c>
      <c r="H894" t="s">
        <v>87</v>
      </c>
      <c r="I894" t="s">
        <v>25</v>
      </c>
      <c r="J894" t="s">
        <v>35</v>
      </c>
      <c r="K894" t="s">
        <v>53</v>
      </c>
      <c r="L894">
        <v>436.17</v>
      </c>
      <c r="M894">
        <v>4</v>
      </c>
      <c r="N894" s="2">
        <v>0</v>
      </c>
      <c r="O894">
        <v>1744.68</v>
      </c>
      <c r="P894">
        <v>0</v>
      </c>
      <c r="Q894">
        <f>Sheet1__3_1_1_1[[#This Row],[Gross_Revenue]]-Sheet1__3_1_1_1[[#This Row],[Discount_Amount]]</f>
        <v>1744.68</v>
      </c>
      <c r="R894">
        <v>1081.7</v>
      </c>
      <c r="S894">
        <f>Sheet1__3_1_1_1[[#This Row],[Net_Revenue]]-Sheet1__3_1_1_1[[#This Row],[COGS]]</f>
        <v>662.98</v>
      </c>
    </row>
    <row r="895" spans="1:19" x14ac:dyDescent="0.25">
      <c r="A895" t="s">
        <v>990</v>
      </c>
      <c r="B895" s="1">
        <v>44868</v>
      </c>
      <c r="C895" t="s">
        <v>77</v>
      </c>
      <c r="D895" t="s">
        <v>78</v>
      </c>
      <c r="E895" t="s">
        <v>66</v>
      </c>
      <c r="F895" t="s">
        <v>69</v>
      </c>
      <c r="G895" t="s">
        <v>70</v>
      </c>
      <c r="H895" t="s">
        <v>52</v>
      </c>
      <c r="I895" t="s">
        <v>34</v>
      </c>
      <c r="J895" t="s">
        <v>26</v>
      </c>
      <c r="K895" t="s">
        <v>36</v>
      </c>
      <c r="L895">
        <v>279.68</v>
      </c>
      <c r="M895">
        <v>21</v>
      </c>
      <c r="N895" s="2">
        <v>0</v>
      </c>
      <c r="O895">
        <v>5873.28</v>
      </c>
      <c r="P895">
        <v>0</v>
      </c>
      <c r="Q895">
        <f>Sheet1__3_1_1_1[[#This Row],[Gross_Revenue]]-Sheet1__3_1_1_1[[#This Row],[Discount_Amount]]</f>
        <v>5873.28</v>
      </c>
      <c r="R895">
        <v>2231.85</v>
      </c>
      <c r="S895">
        <f>Sheet1__3_1_1_1[[#This Row],[Net_Revenue]]-Sheet1__3_1_1_1[[#This Row],[COGS]]</f>
        <v>3641.43</v>
      </c>
    </row>
    <row r="896" spans="1:19" x14ac:dyDescent="0.25">
      <c r="A896" t="s">
        <v>991</v>
      </c>
      <c r="B896" s="1">
        <v>44662</v>
      </c>
      <c r="C896" t="s">
        <v>44</v>
      </c>
      <c r="D896" t="s">
        <v>65</v>
      </c>
      <c r="E896" t="s">
        <v>63</v>
      </c>
      <c r="F896" t="s">
        <v>55</v>
      </c>
      <c r="G896" t="s">
        <v>120</v>
      </c>
      <c r="H896" t="s">
        <v>59</v>
      </c>
      <c r="I896" t="s">
        <v>42</v>
      </c>
      <c r="J896" t="s">
        <v>26</v>
      </c>
      <c r="K896" t="s">
        <v>36</v>
      </c>
      <c r="L896">
        <v>94.54</v>
      </c>
      <c r="M896">
        <v>2</v>
      </c>
      <c r="N896" s="2">
        <v>0</v>
      </c>
      <c r="O896">
        <v>189.08</v>
      </c>
      <c r="P896">
        <v>0</v>
      </c>
      <c r="Q896">
        <f>Sheet1__3_1_1_1[[#This Row],[Gross_Revenue]]-Sheet1__3_1_1_1[[#This Row],[Discount_Amount]]</f>
        <v>189.08</v>
      </c>
      <c r="R896">
        <v>79.41</v>
      </c>
      <c r="S896">
        <f>Sheet1__3_1_1_1[[#This Row],[Net_Revenue]]-Sheet1__3_1_1_1[[#This Row],[COGS]]</f>
        <v>109.67000000000002</v>
      </c>
    </row>
    <row r="897" spans="1:19" x14ac:dyDescent="0.25">
      <c r="A897" t="s">
        <v>992</v>
      </c>
      <c r="B897" s="1">
        <v>45086</v>
      </c>
      <c r="C897" t="s">
        <v>99</v>
      </c>
      <c r="D897" t="s">
        <v>132</v>
      </c>
      <c r="E897" t="s">
        <v>66</v>
      </c>
      <c r="F897" t="s">
        <v>69</v>
      </c>
      <c r="G897" t="s">
        <v>101</v>
      </c>
      <c r="H897" t="s">
        <v>59</v>
      </c>
      <c r="I897" t="s">
        <v>34</v>
      </c>
      <c r="J897" t="s">
        <v>26</v>
      </c>
      <c r="K897" t="s">
        <v>36</v>
      </c>
      <c r="L897">
        <v>7.07</v>
      </c>
      <c r="M897">
        <v>23</v>
      </c>
      <c r="N897" s="2">
        <v>0</v>
      </c>
      <c r="O897">
        <v>162.61000000000001</v>
      </c>
      <c r="P897">
        <v>0</v>
      </c>
      <c r="Q897">
        <f>Sheet1__3_1_1_1[[#This Row],[Gross_Revenue]]-Sheet1__3_1_1_1[[#This Row],[Discount_Amount]]</f>
        <v>162.61000000000001</v>
      </c>
      <c r="R897">
        <v>61.79</v>
      </c>
      <c r="S897">
        <f>Sheet1__3_1_1_1[[#This Row],[Net_Revenue]]-Sheet1__3_1_1_1[[#This Row],[COGS]]</f>
        <v>100.82000000000002</v>
      </c>
    </row>
    <row r="898" spans="1:19" x14ac:dyDescent="0.25">
      <c r="A898" t="s">
        <v>993</v>
      </c>
      <c r="B898" s="1">
        <v>44831</v>
      </c>
      <c r="C898" t="s">
        <v>44</v>
      </c>
      <c r="D898" t="s">
        <v>65</v>
      </c>
      <c r="E898" t="s">
        <v>39</v>
      </c>
      <c r="F898" t="s">
        <v>69</v>
      </c>
      <c r="G898" t="s">
        <v>70</v>
      </c>
      <c r="H898" t="s">
        <v>71</v>
      </c>
      <c r="I898" t="s">
        <v>60</v>
      </c>
      <c r="J898" t="s">
        <v>49</v>
      </c>
      <c r="K898" t="s">
        <v>27</v>
      </c>
      <c r="L898">
        <v>388.53</v>
      </c>
      <c r="N898" s="2">
        <v>0.05</v>
      </c>
      <c r="O898">
        <v>0</v>
      </c>
      <c r="P898">
        <v>0</v>
      </c>
      <c r="Q898">
        <f>Sheet1__3_1_1_1[[#This Row],[Gross_Revenue]]-Sheet1__3_1_1_1[[#This Row],[Discount_Amount]]</f>
        <v>0</v>
      </c>
      <c r="R898" t="s">
        <v>1147</v>
      </c>
      <c r="S898" t="e">
        <f>Sheet1__3_1_1_1[[#This Row],[Net_Revenue]]-Sheet1__3_1_1_1[[#This Row],[COGS]]</f>
        <v>#VALUE!</v>
      </c>
    </row>
    <row r="899" spans="1:19" x14ac:dyDescent="0.25">
      <c r="A899" t="s">
        <v>994</v>
      </c>
      <c r="B899" s="1">
        <v>44867</v>
      </c>
      <c r="C899" t="s">
        <v>29</v>
      </c>
      <c r="D899" t="s">
        <v>62</v>
      </c>
      <c r="E899" t="s">
        <v>21</v>
      </c>
      <c r="F899" t="s">
        <v>55</v>
      </c>
      <c r="G899" t="s">
        <v>103</v>
      </c>
      <c r="H899" t="s">
        <v>106</v>
      </c>
      <c r="I899" t="s">
        <v>42</v>
      </c>
      <c r="J899" t="s">
        <v>26</v>
      </c>
      <c r="K899" t="s">
        <v>36</v>
      </c>
      <c r="L899">
        <v>167.18</v>
      </c>
      <c r="M899">
        <v>1</v>
      </c>
      <c r="N899" s="2">
        <v>0</v>
      </c>
      <c r="O899">
        <v>167.18</v>
      </c>
      <c r="P899">
        <v>0</v>
      </c>
      <c r="Q899">
        <f>Sheet1__3_1_1_1[[#This Row],[Gross_Revenue]]-Sheet1__3_1_1_1[[#This Row],[Discount_Amount]]</f>
        <v>167.18</v>
      </c>
      <c r="R899">
        <v>70.22</v>
      </c>
      <c r="S899">
        <f>Sheet1__3_1_1_1[[#This Row],[Net_Revenue]]-Sheet1__3_1_1_1[[#This Row],[COGS]]</f>
        <v>96.960000000000008</v>
      </c>
    </row>
    <row r="900" spans="1:19" x14ac:dyDescent="0.25">
      <c r="A900" t="s">
        <v>995</v>
      </c>
      <c r="B900" s="1">
        <v>44668</v>
      </c>
      <c r="C900" t="s">
        <v>29</v>
      </c>
      <c r="D900" t="s">
        <v>30</v>
      </c>
      <c r="E900" t="s">
        <v>63</v>
      </c>
      <c r="F900" t="s">
        <v>31</v>
      </c>
      <c r="G900" t="s">
        <v>32</v>
      </c>
      <c r="H900" t="s">
        <v>57</v>
      </c>
      <c r="I900" t="s">
        <v>48</v>
      </c>
      <c r="J900" t="s">
        <v>35</v>
      </c>
      <c r="K900" t="s">
        <v>53</v>
      </c>
      <c r="L900">
        <v>426.57</v>
      </c>
      <c r="M900">
        <v>5</v>
      </c>
      <c r="N900" s="2">
        <v>0.1</v>
      </c>
      <c r="O900">
        <v>2132.85</v>
      </c>
      <c r="P900">
        <v>213.285</v>
      </c>
      <c r="Q900">
        <f>Sheet1__3_1_1_1[[#This Row],[Gross_Revenue]]-Sheet1__3_1_1_1[[#This Row],[Discount_Amount]]</f>
        <v>1919.5649999999998</v>
      </c>
      <c r="R900">
        <v>921.39</v>
      </c>
      <c r="S900">
        <f>Sheet1__3_1_1_1[[#This Row],[Net_Revenue]]-Sheet1__3_1_1_1[[#This Row],[COGS]]</f>
        <v>998.17499999999984</v>
      </c>
    </row>
    <row r="901" spans="1:19" x14ac:dyDescent="0.25">
      <c r="A901" t="s">
        <v>996</v>
      </c>
      <c r="B901" s="1">
        <v>44896</v>
      </c>
      <c r="C901" t="s">
        <v>29</v>
      </c>
      <c r="D901" t="s">
        <v>62</v>
      </c>
      <c r="E901" t="s">
        <v>63</v>
      </c>
      <c r="F901" t="s">
        <v>31</v>
      </c>
      <c r="G901" t="s">
        <v>122</v>
      </c>
      <c r="H901" t="s">
        <v>47</v>
      </c>
      <c r="I901" t="s">
        <v>60</v>
      </c>
      <c r="J901" t="s">
        <v>26</v>
      </c>
      <c r="K901" t="s">
        <v>36</v>
      </c>
      <c r="L901">
        <v>397.55</v>
      </c>
      <c r="M901">
        <v>8</v>
      </c>
      <c r="N901" s="2">
        <v>0.15</v>
      </c>
      <c r="O901">
        <v>3180.4</v>
      </c>
      <c r="P901">
        <v>477.06</v>
      </c>
      <c r="Q901">
        <f>Sheet1__3_1_1_1[[#This Row],[Gross_Revenue]]-Sheet1__3_1_1_1[[#This Row],[Discount_Amount]]</f>
        <v>2703.34</v>
      </c>
      <c r="R901">
        <v>1297.5999999999999</v>
      </c>
      <c r="S901">
        <f>Sheet1__3_1_1_1[[#This Row],[Net_Revenue]]-Sheet1__3_1_1_1[[#This Row],[COGS]]</f>
        <v>1405.7400000000002</v>
      </c>
    </row>
    <row r="902" spans="1:19" x14ac:dyDescent="0.25">
      <c r="A902" t="s">
        <v>997</v>
      </c>
      <c r="B902" s="1">
        <v>44790</v>
      </c>
      <c r="C902" t="s">
        <v>29</v>
      </c>
      <c r="D902" t="s">
        <v>38</v>
      </c>
      <c r="E902" t="s">
        <v>39</v>
      </c>
      <c r="F902" t="s">
        <v>69</v>
      </c>
      <c r="G902" t="s">
        <v>70</v>
      </c>
      <c r="H902" t="s">
        <v>52</v>
      </c>
      <c r="I902" t="s">
        <v>48</v>
      </c>
      <c r="J902" t="s">
        <v>94</v>
      </c>
      <c r="K902" t="s">
        <v>27</v>
      </c>
      <c r="L902">
        <v>377.39</v>
      </c>
      <c r="M902">
        <v>8</v>
      </c>
      <c r="N902" s="2">
        <v>0.05</v>
      </c>
      <c r="O902">
        <v>3019.12</v>
      </c>
      <c r="P902">
        <v>150.95599999999999</v>
      </c>
      <c r="Q902">
        <f>Sheet1__3_1_1_1[[#This Row],[Gross_Revenue]]-Sheet1__3_1_1_1[[#This Row],[Discount_Amount]]</f>
        <v>2868.1639999999998</v>
      </c>
      <c r="R902">
        <v>1089.9000000000001</v>
      </c>
      <c r="S902">
        <f>Sheet1__3_1_1_1[[#This Row],[Net_Revenue]]-Sheet1__3_1_1_1[[#This Row],[COGS]]</f>
        <v>1778.2639999999997</v>
      </c>
    </row>
    <row r="903" spans="1:19" x14ac:dyDescent="0.25">
      <c r="A903" t="s">
        <v>998</v>
      </c>
      <c r="B903" s="1">
        <v>44724</v>
      </c>
      <c r="C903" t="s">
        <v>44</v>
      </c>
      <c r="D903" t="s">
        <v>51</v>
      </c>
      <c r="E903" t="s">
        <v>66</v>
      </c>
      <c r="F903" t="s">
        <v>69</v>
      </c>
      <c r="G903" t="s">
        <v>73</v>
      </c>
      <c r="H903" t="s">
        <v>59</v>
      </c>
      <c r="I903" t="s">
        <v>48</v>
      </c>
      <c r="J903" t="s">
        <v>94</v>
      </c>
      <c r="K903" t="s">
        <v>36</v>
      </c>
      <c r="L903">
        <v>10.24</v>
      </c>
      <c r="M903">
        <v>5</v>
      </c>
      <c r="N903" s="2">
        <v>0.05</v>
      </c>
      <c r="O903">
        <v>51.2</v>
      </c>
      <c r="P903">
        <v>2.5600000000000005</v>
      </c>
      <c r="Q903">
        <f>Sheet1__3_1_1_1[[#This Row],[Gross_Revenue]]-Sheet1__3_1_1_1[[#This Row],[Discount_Amount]]</f>
        <v>48.64</v>
      </c>
      <c r="R903">
        <v>18.48</v>
      </c>
      <c r="S903">
        <f>Sheet1__3_1_1_1[[#This Row],[Net_Revenue]]-Sheet1__3_1_1_1[[#This Row],[COGS]]</f>
        <v>30.16</v>
      </c>
    </row>
    <row r="904" spans="1:19" x14ac:dyDescent="0.25">
      <c r="A904" t="s">
        <v>999</v>
      </c>
      <c r="B904" s="1">
        <v>44865</v>
      </c>
      <c r="C904" t="s">
        <v>29</v>
      </c>
      <c r="D904" t="s">
        <v>38</v>
      </c>
      <c r="E904" t="s">
        <v>39</v>
      </c>
      <c r="F904" t="s">
        <v>55</v>
      </c>
      <c r="G904" t="s">
        <v>83</v>
      </c>
      <c r="H904" t="s">
        <v>41</v>
      </c>
      <c r="I904" t="s">
        <v>25</v>
      </c>
      <c r="J904" t="s">
        <v>35</v>
      </c>
      <c r="K904" t="s">
        <v>53</v>
      </c>
      <c r="L904">
        <v>58.97</v>
      </c>
      <c r="M904">
        <v>8</v>
      </c>
      <c r="N904" s="2">
        <v>0.2</v>
      </c>
      <c r="O904">
        <v>471.76</v>
      </c>
      <c r="P904">
        <v>94.352000000000004</v>
      </c>
      <c r="Q904">
        <f>Sheet1__3_1_1_1[[#This Row],[Gross_Revenue]]-Sheet1__3_1_1_1[[#This Row],[Discount_Amount]]</f>
        <v>377.40800000000002</v>
      </c>
      <c r="R904">
        <v>158.51</v>
      </c>
      <c r="S904">
        <f>Sheet1__3_1_1_1[[#This Row],[Net_Revenue]]-Sheet1__3_1_1_1[[#This Row],[COGS]]</f>
        <v>218.89800000000002</v>
      </c>
    </row>
    <row r="905" spans="1:19" x14ac:dyDescent="0.25">
      <c r="A905" t="s">
        <v>1000</v>
      </c>
      <c r="B905" s="1">
        <v>44892</v>
      </c>
      <c r="C905" t="s">
        <v>44</v>
      </c>
      <c r="D905" t="s">
        <v>45</v>
      </c>
      <c r="E905" t="s">
        <v>66</v>
      </c>
      <c r="F905" t="s">
        <v>22</v>
      </c>
      <c r="G905" t="s">
        <v>23</v>
      </c>
      <c r="H905" t="s">
        <v>57</v>
      </c>
      <c r="I905" t="s">
        <v>42</v>
      </c>
      <c r="J905" t="s">
        <v>89</v>
      </c>
      <c r="K905" t="s">
        <v>143</v>
      </c>
      <c r="L905">
        <v>17.57</v>
      </c>
      <c r="M905">
        <v>23</v>
      </c>
      <c r="N905" s="2">
        <v>0</v>
      </c>
      <c r="O905">
        <v>404.11</v>
      </c>
      <c r="P905">
        <v>0</v>
      </c>
      <c r="Q905">
        <f>Sheet1__3_1_1_1[[#This Row],[Gross_Revenue]]-Sheet1__3_1_1_1[[#This Row],[Discount_Amount]]</f>
        <v>404.11</v>
      </c>
      <c r="R905">
        <v>222.26</v>
      </c>
      <c r="S905">
        <f>Sheet1__3_1_1_1[[#This Row],[Net_Revenue]]-Sheet1__3_1_1_1[[#This Row],[COGS]]</f>
        <v>181.85000000000002</v>
      </c>
    </row>
    <row r="906" spans="1:19" x14ac:dyDescent="0.25">
      <c r="A906" t="s">
        <v>1001</v>
      </c>
      <c r="B906" s="1">
        <v>44924</v>
      </c>
      <c r="C906" t="s">
        <v>99</v>
      </c>
      <c r="D906" t="s">
        <v>132</v>
      </c>
      <c r="E906" t="s">
        <v>39</v>
      </c>
      <c r="F906" t="s">
        <v>79</v>
      </c>
      <c r="G906" t="s">
        <v>172</v>
      </c>
      <c r="H906" t="s">
        <v>33</v>
      </c>
      <c r="I906" t="s">
        <v>42</v>
      </c>
      <c r="J906" t="s">
        <v>35</v>
      </c>
      <c r="K906" t="s">
        <v>36</v>
      </c>
      <c r="L906">
        <v>325.94</v>
      </c>
      <c r="M906">
        <v>1</v>
      </c>
      <c r="N906" s="2">
        <v>0</v>
      </c>
      <c r="O906">
        <v>325.94</v>
      </c>
      <c r="P906">
        <v>0</v>
      </c>
      <c r="Q906">
        <f>Sheet1__3_1_1_1[[#This Row],[Gross_Revenue]]-Sheet1__3_1_1_1[[#This Row],[Discount_Amount]]</f>
        <v>325.94</v>
      </c>
      <c r="R906">
        <v>202.08</v>
      </c>
      <c r="S906">
        <f>Sheet1__3_1_1_1[[#This Row],[Net_Revenue]]-Sheet1__3_1_1_1[[#This Row],[COGS]]</f>
        <v>123.85999999999999</v>
      </c>
    </row>
    <row r="907" spans="1:19" x14ac:dyDescent="0.25">
      <c r="A907" t="s">
        <v>1002</v>
      </c>
      <c r="B907" s="1">
        <v>44930</v>
      </c>
      <c r="C907" t="s">
        <v>99</v>
      </c>
      <c r="D907" t="s">
        <v>100</v>
      </c>
      <c r="E907" t="s">
        <v>39</v>
      </c>
      <c r="F907" t="s">
        <v>79</v>
      </c>
      <c r="G907" t="s">
        <v>80</v>
      </c>
      <c r="H907" t="s">
        <v>106</v>
      </c>
      <c r="I907" t="s">
        <v>34</v>
      </c>
      <c r="J907" t="s">
        <v>26</v>
      </c>
      <c r="K907" t="s">
        <v>143</v>
      </c>
      <c r="L907">
        <v>746.96</v>
      </c>
      <c r="M907">
        <v>3</v>
      </c>
      <c r="N907" s="2">
        <v>0</v>
      </c>
      <c r="O907">
        <v>2240.88</v>
      </c>
      <c r="P907">
        <v>0</v>
      </c>
      <c r="Q907">
        <f>Sheet1__3_1_1_1[[#This Row],[Gross_Revenue]]-Sheet1__3_1_1_1[[#This Row],[Discount_Amount]]</f>
        <v>2240.88</v>
      </c>
      <c r="R907">
        <v>1389.35</v>
      </c>
      <c r="S907">
        <f>Sheet1__3_1_1_1[[#This Row],[Net_Revenue]]-Sheet1__3_1_1_1[[#This Row],[COGS]]</f>
        <v>851.5300000000002</v>
      </c>
    </row>
    <row r="908" spans="1:19" x14ac:dyDescent="0.25">
      <c r="A908" t="s">
        <v>1003</v>
      </c>
      <c r="B908" s="1">
        <v>45120</v>
      </c>
      <c r="C908" t="s">
        <v>29</v>
      </c>
      <c r="D908" t="s">
        <v>38</v>
      </c>
      <c r="E908" t="s">
        <v>39</v>
      </c>
      <c r="F908" t="s">
        <v>55</v>
      </c>
      <c r="G908" t="s">
        <v>56</v>
      </c>
      <c r="H908" t="s">
        <v>52</v>
      </c>
      <c r="I908" t="s">
        <v>25</v>
      </c>
      <c r="J908" t="s">
        <v>26</v>
      </c>
      <c r="K908" t="s">
        <v>143</v>
      </c>
      <c r="L908">
        <v>46.34</v>
      </c>
      <c r="M908">
        <v>4</v>
      </c>
      <c r="N908" s="2">
        <v>0.15</v>
      </c>
      <c r="O908">
        <v>185.36</v>
      </c>
      <c r="P908">
        <v>27.804000000000002</v>
      </c>
      <c r="Q908">
        <f>Sheet1__3_1_1_1[[#This Row],[Gross_Revenue]]-Sheet1__3_1_1_1[[#This Row],[Discount_Amount]]</f>
        <v>157.55600000000001</v>
      </c>
      <c r="R908">
        <v>66.180000000000007</v>
      </c>
      <c r="S908">
        <f>Sheet1__3_1_1_1[[#This Row],[Net_Revenue]]-Sheet1__3_1_1_1[[#This Row],[COGS]]</f>
        <v>91.376000000000005</v>
      </c>
    </row>
    <row r="909" spans="1:19" x14ac:dyDescent="0.25">
      <c r="A909" t="s">
        <v>1004</v>
      </c>
      <c r="B909" s="1">
        <v>45001</v>
      </c>
      <c r="C909" t="s">
        <v>77</v>
      </c>
      <c r="D909" t="s">
        <v>78</v>
      </c>
      <c r="E909" t="s">
        <v>66</v>
      </c>
      <c r="F909" t="s">
        <v>55</v>
      </c>
      <c r="G909" t="s">
        <v>56</v>
      </c>
      <c r="H909" t="s">
        <v>52</v>
      </c>
      <c r="I909" t="s">
        <v>42</v>
      </c>
      <c r="J909" t="s">
        <v>49</v>
      </c>
      <c r="K909" t="s">
        <v>53</v>
      </c>
      <c r="L909">
        <v>52.11</v>
      </c>
      <c r="M909">
        <v>2</v>
      </c>
      <c r="N909" s="2">
        <v>0</v>
      </c>
      <c r="O909">
        <v>104.22</v>
      </c>
      <c r="P909">
        <v>0</v>
      </c>
      <c r="Q909">
        <f>Sheet1__3_1_1_1[[#This Row],[Gross_Revenue]]-Sheet1__3_1_1_1[[#This Row],[Discount_Amount]]</f>
        <v>104.22</v>
      </c>
      <c r="R909">
        <v>43.77</v>
      </c>
      <c r="S909">
        <f>Sheet1__3_1_1_1[[#This Row],[Net_Revenue]]-Sheet1__3_1_1_1[[#This Row],[COGS]]</f>
        <v>60.449999999999996</v>
      </c>
    </row>
    <row r="910" spans="1:19" x14ac:dyDescent="0.25">
      <c r="A910" t="s">
        <v>1005</v>
      </c>
      <c r="B910" s="1">
        <v>44851</v>
      </c>
      <c r="C910" t="s">
        <v>19</v>
      </c>
      <c r="D910" t="s">
        <v>91</v>
      </c>
      <c r="E910" t="s">
        <v>39</v>
      </c>
      <c r="F910" t="s">
        <v>22</v>
      </c>
      <c r="G910" t="s">
        <v>75</v>
      </c>
      <c r="H910" t="s">
        <v>33</v>
      </c>
      <c r="I910" t="s">
        <v>48</v>
      </c>
      <c r="J910" t="s">
        <v>35</v>
      </c>
      <c r="K910" t="s">
        <v>143</v>
      </c>
      <c r="L910">
        <v>12.41</v>
      </c>
      <c r="M910">
        <v>1</v>
      </c>
      <c r="N910" s="2">
        <v>0</v>
      </c>
      <c r="O910">
        <v>12.41</v>
      </c>
      <c r="P910">
        <v>0</v>
      </c>
      <c r="Q910">
        <f>Sheet1__3_1_1_1[[#This Row],[Gross_Revenue]]-Sheet1__3_1_1_1[[#This Row],[Discount_Amount]]</f>
        <v>12.41</v>
      </c>
      <c r="R910">
        <v>6.83</v>
      </c>
      <c r="S910">
        <f>Sheet1__3_1_1_1[[#This Row],[Net_Revenue]]-Sheet1__3_1_1_1[[#This Row],[COGS]]</f>
        <v>5.58</v>
      </c>
    </row>
    <row r="911" spans="1:19" x14ac:dyDescent="0.25">
      <c r="A911" t="s">
        <v>1006</v>
      </c>
      <c r="B911" s="1">
        <v>45270</v>
      </c>
      <c r="C911" t="s">
        <v>44</v>
      </c>
      <c r="D911" t="s">
        <v>51</v>
      </c>
      <c r="E911" t="s">
        <v>63</v>
      </c>
      <c r="F911" t="s">
        <v>22</v>
      </c>
      <c r="G911" t="s">
        <v>23</v>
      </c>
      <c r="H911" t="s">
        <v>108</v>
      </c>
      <c r="I911" t="s">
        <v>48</v>
      </c>
      <c r="J911" t="s">
        <v>26</v>
      </c>
      <c r="K911" t="s">
        <v>36</v>
      </c>
      <c r="L911">
        <v>17.36</v>
      </c>
      <c r="M911">
        <v>11</v>
      </c>
      <c r="N911" s="2">
        <v>0</v>
      </c>
      <c r="O911">
        <v>190.95999999999998</v>
      </c>
      <c r="P911">
        <v>0</v>
      </c>
      <c r="Q911">
        <f>Sheet1__3_1_1_1[[#This Row],[Gross_Revenue]]-Sheet1__3_1_1_1[[#This Row],[Discount_Amount]]</f>
        <v>190.95999999999998</v>
      </c>
      <c r="R911">
        <v>105.03</v>
      </c>
      <c r="S911">
        <f>Sheet1__3_1_1_1[[#This Row],[Net_Revenue]]-Sheet1__3_1_1_1[[#This Row],[COGS]]</f>
        <v>85.929999999999978</v>
      </c>
    </row>
    <row r="912" spans="1:19" x14ac:dyDescent="0.25">
      <c r="A912" t="s">
        <v>1007</v>
      </c>
      <c r="B912" s="1">
        <v>44774</v>
      </c>
      <c r="C912" t="s">
        <v>77</v>
      </c>
      <c r="D912" t="s">
        <v>78</v>
      </c>
      <c r="E912" t="s">
        <v>21</v>
      </c>
      <c r="F912" t="s">
        <v>55</v>
      </c>
      <c r="G912" t="s">
        <v>120</v>
      </c>
      <c r="H912" t="s">
        <v>24</v>
      </c>
      <c r="I912" t="s">
        <v>34</v>
      </c>
      <c r="J912" t="s">
        <v>35</v>
      </c>
      <c r="K912" t="s">
        <v>143</v>
      </c>
      <c r="L912">
        <v>129.86000000000001</v>
      </c>
      <c r="M912">
        <v>1</v>
      </c>
      <c r="N912" s="2">
        <v>0</v>
      </c>
      <c r="O912">
        <v>129.86000000000001</v>
      </c>
      <c r="P912">
        <v>0</v>
      </c>
      <c r="Q912">
        <f>Sheet1__3_1_1_1[[#This Row],[Gross_Revenue]]-Sheet1__3_1_1_1[[#This Row],[Discount_Amount]]</f>
        <v>129.86000000000001</v>
      </c>
      <c r="R912">
        <v>54.54</v>
      </c>
      <c r="S912">
        <f>Sheet1__3_1_1_1[[#This Row],[Net_Revenue]]-Sheet1__3_1_1_1[[#This Row],[COGS]]</f>
        <v>75.320000000000022</v>
      </c>
    </row>
    <row r="913" spans="1:19" x14ac:dyDescent="0.25">
      <c r="A913" t="s">
        <v>1008</v>
      </c>
      <c r="B913" s="1">
        <v>45034</v>
      </c>
      <c r="C913" t="s">
        <v>44</v>
      </c>
      <c r="D913" t="s">
        <v>51</v>
      </c>
      <c r="E913" t="s">
        <v>63</v>
      </c>
      <c r="F913" t="s">
        <v>79</v>
      </c>
      <c r="G913" t="s">
        <v>172</v>
      </c>
      <c r="H913" t="s">
        <v>41</v>
      </c>
      <c r="I913" t="s">
        <v>60</v>
      </c>
      <c r="J913" t="s">
        <v>35</v>
      </c>
      <c r="K913" t="s">
        <v>53</v>
      </c>
      <c r="L913">
        <v>298.45999999999998</v>
      </c>
      <c r="M913">
        <v>1</v>
      </c>
      <c r="N913" s="2">
        <v>0.15</v>
      </c>
      <c r="O913">
        <v>298.45999999999998</v>
      </c>
      <c r="P913">
        <v>44.768999999999998</v>
      </c>
      <c r="Q913">
        <f>Sheet1__3_1_1_1[[#This Row],[Gross_Revenue]]-Sheet1__3_1_1_1[[#This Row],[Discount_Amount]]</f>
        <v>253.69099999999997</v>
      </c>
      <c r="R913">
        <v>157.29</v>
      </c>
      <c r="S913">
        <f>Sheet1__3_1_1_1[[#This Row],[Net_Revenue]]-Sheet1__3_1_1_1[[#This Row],[COGS]]</f>
        <v>96.400999999999982</v>
      </c>
    </row>
    <row r="914" spans="1:19" x14ac:dyDescent="0.25">
      <c r="A914" t="s">
        <v>1009</v>
      </c>
      <c r="B914" s="1">
        <v>45133</v>
      </c>
      <c r="C914" t="s">
        <v>44</v>
      </c>
      <c r="D914" t="s">
        <v>51</v>
      </c>
      <c r="E914" t="s">
        <v>66</v>
      </c>
      <c r="F914" t="s">
        <v>31</v>
      </c>
      <c r="G914" t="s">
        <v>40</v>
      </c>
      <c r="H914" t="s">
        <v>108</v>
      </c>
      <c r="I914" t="s">
        <v>60</v>
      </c>
      <c r="J914" t="s">
        <v>26</v>
      </c>
      <c r="K914" t="s">
        <v>143</v>
      </c>
      <c r="L914">
        <v>191.38</v>
      </c>
      <c r="M914">
        <v>7</v>
      </c>
      <c r="N914" s="2">
        <v>0.1</v>
      </c>
      <c r="O914">
        <v>1339.6599999999999</v>
      </c>
      <c r="P914">
        <v>133.96599999999998</v>
      </c>
      <c r="Q914">
        <f>Sheet1__3_1_1_1[[#This Row],[Gross_Revenue]]-Sheet1__3_1_1_1[[#This Row],[Discount_Amount]]</f>
        <v>1205.694</v>
      </c>
      <c r="R914">
        <v>578.73</v>
      </c>
      <c r="S914">
        <f>Sheet1__3_1_1_1[[#This Row],[Net_Revenue]]-Sheet1__3_1_1_1[[#This Row],[COGS]]</f>
        <v>626.96399999999994</v>
      </c>
    </row>
    <row r="915" spans="1:19" x14ac:dyDescent="0.25">
      <c r="A915" t="s">
        <v>1010</v>
      </c>
      <c r="B915" s="1">
        <v>44982</v>
      </c>
      <c r="C915" t="s">
        <v>77</v>
      </c>
      <c r="D915" t="s">
        <v>82</v>
      </c>
      <c r="E915" t="s">
        <v>63</v>
      </c>
      <c r="F915" t="s">
        <v>79</v>
      </c>
      <c r="G915" t="s">
        <v>80</v>
      </c>
      <c r="H915" t="s">
        <v>47</v>
      </c>
      <c r="I915" t="s">
        <v>25</v>
      </c>
      <c r="J915" t="s">
        <v>94</v>
      </c>
      <c r="K915" t="s">
        <v>143</v>
      </c>
      <c r="L915">
        <v>603.36</v>
      </c>
      <c r="M915">
        <v>4</v>
      </c>
      <c r="N915" s="2">
        <v>0</v>
      </c>
      <c r="O915">
        <v>2413.44</v>
      </c>
      <c r="P915">
        <v>0</v>
      </c>
      <c r="Q915">
        <f>Sheet1__3_1_1_1[[#This Row],[Gross_Revenue]]-Sheet1__3_1_1_1[[#This Row],[Discount_Amount]]</f>
        <v>2413.44</v>
      </c>
      <c r="R915">
        <v>1496.33</v>
      </c>
      <c r="S915">
        <f>Sheet1__3_1_1_1[[#This Row],[Net_Revenue]]-Sheet1__3_1_1_1[[#This Row],[COGS]]</f>
        <v>917.11000000000013</v>
      </c>
    </row>
    <row r="916" spans="1:19" x14ac:dyDescent="0.25">
      <c r="A916" t="s">
        <v>1011</v>
      </c>
      <c r="B916" s="1">
        <v>45043</v>
      </c>
      <c r="C916" t="s">
        <v>77</v>
      </c>
      <c r="D916" t="s">
        <v>82</v>
      </c>
      <c r="E916" t="s">
        <v>21</v>
      </c>
      <c r="F916" t="s">
        <v>31</v>
      </c>
      <c r="G916" t="s">
        <v>40</v>
      </c>
      <c r="H916" t="s">
        <v>106</v>
      </c>
      <c r="I916" t="s">
        <v>42</v>
      </c>
      <c r="J916" t="s">
        <v>49</v>
      </c>
      <c r="K916" t="s">
        <v>53</v>
      </c>
      <c r="L916">
        <v>243.13</v>
      </c>
      <c r="M916">
        <v>3</v>
      </c>
      <c r="N916" s="2">
        <v>0</v>
      </c>
      <c r="O916">
        <v>729.39</v>
      </c>
      <c r="P916">
        <v>0</v>
      </c>
      <c r="Q916">
        <f>Sheet1__3_1_1_1[[#This Row],[Gross_Revenue]]-Sheet1__3_1_1_1[[#This Row],[Discount_Amount]]</f>
        <v>729.39</v>
      </c>
      <c r="R916">
        <v>350.11</v>
      </c>
      <c r="S916">
        <f>Sheet1__3_1_1_1[[#This Row],[Net_Revenue]]-Sheet1__3_1_1_1[[#This Row],[COGS]]</f>
        <v>379.28</v>
      </c>
    </row>
    <row r="917" spans="1:19" x14ac:dyDescent="0.25">
      <c r="A917" t="s">
        <v>1012</v>
      </c>
      <c r="B917" s="1">
        <v>45142</v>
      </c>
      <c r="C917" t="s">
        <v>19</v>
      </c>
      <c r="D917" t="s">
        <v>91</v>
      </c>
      <c r="E917" t="s">
        <v>66</v>
      </c>
      <c r="F917" t="s">
        <v>55</v>
      </c>
      <c r="G917" t="s">
        <v>103</v>
      </c>
      <c r="H917" t="s">
        <v>52</v>
      </c>
      <c r="I917" t="s">
        <v>25</v>
      </c>
      <c r="J917" t="s">
        <v>35</v>
      </c>
      <c r="K917" t="s">
        <v>36</v>
      </c>
      <c r="L917">
        <v>151.78</v>
      </c>
      <c r="M917">
        <v>5</v>
      </c>
      <c r="N917" s="2">
        <v>0.15</v>
      </c>
      <c r="O917">
        <v>758.9</v>
      </c>
      <c r="P917">
        <v>113.83499999999999</v>
      </c>
      <c r="Q917">
        <f>Sheet1__3_1_1_1[[#This Row],[Gross_Revenue]]-Sheet1__3_1_1_1[[#This Row],[Discount_Amount]]</f>
        <v>645.06499999999994</v>
      </c>
      <c r="R917">
        <v>270.93</v>
      </c>
      <c r="S917">
        <f>Sheet1__3_1_1_1[[#This Row],[Net_Revenue]]-Sheet1__3_1_1_1[[#This Row],[COGS]]</f>
        <v>374.13499999999993</v>
      </c>
    </row>
    <row r="918" spans="1:19" x14ac:dyDescent="0.25">
      <c r="A918" t="s">
        <v>1013</v>
      </c>
      <c r="B918" s="1">
        <v>44604</v>
      </c>
      <c r="C918" t="s">
        <v>29</v>
      </c>
      <c r="D918" t="s">
        <v>38</v>
      </c>
      <c r="E918" t="s">
        <v>39</v>
      </c>
      <c r="F918" t="s">
        <v>22</v>
      </c>
      <c r="G918" t="s">
        <v>149</v>
      </c>
      <c r="H918" t="s">
        <v>106</v>
      </c>
      <c r="I918" t="s">
        <v>48</v>
      </c>
      <c r="J918" t="s">
        <v>89</v>
      </c>
      <c r="K918" t="s">
        <v>36</v>
      </c>
      <c r="L918">
        <v>22.86</v>
      </c>
      <c r="M918">
        <v>11</v>
      </c>
      <c r="N918" s="2">
        <v>0.1</v>
      </c>
      <c r="O918">
        <v>251.45999999999998</v>
      </c>
      <c r="P918">
        <v>25.146000000000001</v>
      </c>
      <c r="Q918">
        <f>Sheet1__3_1_1_1[[#This Row],[Gross_Revenue]]-Sheet1__3_1_1_1[[#This Row],[Discount_Amount]]</f>
        <v>226.31399999999996</v>
      </c>
      <c r="R918">
        <v>124.47</v>
      </c>
      <c r="S918">
        <f>Sheet1__3_1_1_1[[#This Row],[Net_Revenue]]-Sheet1__3_1_1_1[[#This Row],[COGS]]</f>
        <v>101.84399999999997</v>
      </c>
    </row>
    <row r="919" spans="1:19" x14ac:dyDescent="0.25">
      <c r="A919" t="s">
        <v>1014</v>
      </c>
      <c r="B919" s="1">
        <v>45006</v>
      </c>
      <c r="C919" t="s">
        <v>19</v>
      </c>
      <c r="D919" t="s">
        <v>130</v>
      </c>
      <c r="E919" t="s">
        <v>63</v>
      </c>
      <c r="F919" t="s">
        <v>31</v>
      </c>
      <c r="G919" t="s">
        <v>93</v>
      </c>
      <c r="H919" t="s">
        <v>33</v>
      </c>
      <c r="I919" t="s">
        <v>34</v>
      </c>
      <c r="J919" t="s">
        <v>26</v>
      </c>
      <c r="K919" t="s">
        <v>36</v>
      </c>
      <c r="L919">
        <v>168.46</v>
      </c>
      <c r="M919">
        <v>1</v>
      </c>
      <c r="N919" s="2">
        <v>0.15</v>
      </c>
      <c r="O919">
        <v>168.46</v>
      </c>
      <c r="P919">
        <v>25.269000000000002</v>
      </c>
      <c r="Q919">
        <f>Sheet1__3_1_1_1[[#This Row],[Gross_Revenue]]-Sheet1__3_1_1_1[[#This Row],[Discount_Amount]]</f>
        <v>143.191</v>
      </c>
      <c r="R919">
        <v>68.73</v>
      </c>
      <c r="S919">
        <f>Sheet1__3_1_1_1[[#This Row],[Net_Revenue]]-Sheet1__3_1_1_1[[#This Row],[COGS]]</f>
        <v>74.460999999999999</v>
      </c>
    </row>
    <row r="920" spans="1:19" x14ac:dyDescent="0.25">
      <c r="A920" t="s">
        <v>1015</v>
      </c>
      <c r="B920" s="1">
        <v>44963</v>
      </c>
      <c r="C920" t="s">
        <v>29</v>
      </c>
      <c r="D920" t="s">
        <v>62</v>
      </c>
      <c r="E920" t="s">
        <v>63</v>
      </c>
      <c r="F920" t="s">
        <v>55</v>
      </c>
      <c r="G920" t="s">
        <v>67</v>
      </c>
      <c r="H920" t="s">
        <v>59</v>
      </c>
      <c r="I920" t="s">
        <v>42</v>
      </c>
      <c r="J920" t="s">
        <v>94</v>
      </c>
      <c r="K920" t="s">
        <v>36</v>
      </c>
      <c r="L920">
        <v>86.79</v>
      </c>
      <c r="M920">
        <v>4</v>
      </c>
      <c r="N920" s="2">
        <v>0.05</v>
      </c>
      <c r="O920">
        <v>347.16</v>
      </c>
      <c r="P920">
        <v>17.358000000000001</v>
      </c>
      <c r="Q920">
        <f>Sheet1__3_1_1_1[[#This Row],[Gross_Revenue]]-Sheet1__3_1_1_1[[#This Row],[Discount_Amount]]</f>
        <v>329.80200000000002</v>
      </c>
      <c r="R920">
        <v>138.52000000000001</v>
      </c>
      <c r="S920">
        <f>Sheet1__3_1_1_1[[#This Row],[Net_Revenue]]-Sheet1__3_1_1_1[[#This Row],[COGS]]</f>
        <v>191.28200000000001</v>
      </c>
    </row>
    <row r="921" spans="1:19" x14ac:dyDescent="0.25">
      <c r="A921" t="s">
        <v>1016</v>
      </c>
      <c r="B921" s="1">
        <v>45071</v>
      </c>
      <c r="C921" t="s">
        <v>29</v>
      </c>
      <c r="D921" t="s">
        <v>38</v>
      </c>
      <c r="E921" t="s">
        <v>63</v>
      </c>
      <c r="F921" t="s">
        <v>55</v>
      </c>
      <c r="G921" t="s">
        <v>103</v>
      </c>
      <c r="H921" t="s">
        <v>111</v>
      </c>
      <c r="I921" t="s">
        <v>48</v>
      </c>
      <c r="J921" t="s">
        <v>89</v>
      </c>
      <c r="K921" t="s">
        <v>36</v>
      </c>
      <c r="L921">
        <v>186.67</v>
      </c>
      <c r="M921">
        <v>5</v>
      </c>
      <c r="N921" s="2">
        <v>0.1</v>
      </c>
      <c r="O921">
        <v>933.34999999999991</v>
      </c>
      <c r="P921">
        <v>93.334999999999994</v>
      </c>
      <c r="Q921">
        <f>Sheet1__3_1_1_1[[#This Row],[Gross_Revenue]]-Sheet1__3_1_1_1[[#This Row],[Discount_Amount]]</f>
        <v>840.01499999999987</v>
      </c>
      <c r="R921">
        <v>352.81</v>
      </c>
      <c r="S921">
        <f>Sheet1__3_1_1_1[[#This Row],[Net_Revenue]]-Sheet1__3_1_1_1[[#This Row],[COGS]]</f>
        <v>487.20499999999987</v>
      </c>
    </row>
    <row r="922" spans="1:19" x14ac:dyDescent="0.25">
      <c r="A922" t="s">
        <v>1017</v>
      </c>
      <c r="B922" s="1">
        <v>44811</v>
      </c>
      <c r="C922" t="s">
        <v>77</v>
      </c>
      <c r="D922" t="s">
        <v>110</v>
      </c>
      <c r="E922" t="s">
        <v>66</v>
      </c>
      <c r="F922" t="s">
        <v>22</v>
      </c>
      <c r="G922" t="s">
        <v>113</v>
      </c>
      <c r="H922" t="s">
        <v>41</v>
      </c>
      <c r="I922" t="s">
        <v>34</v>
      </c>
      <c r="J922" t="s">
        <v>94</v>
      </c>
      <c r="K922" t="s">
        <v>36</v>
      </c>
      <c r="L922">
        <v>12.54</v>
      </c>
      <c r="M922">
        <v>12</v>
      </c>
      <c r="N922" s="2">
        <v>0.2</v>
      </c>
      <c r="O922">
        <v>150.47999999999999</v>
      </c>
      <c r="P922">
        <v>30.096</v>
      </c>
      <c r="Q922">
        <f>Sheet1__3_1_1_1[[#This Row],[Gross_Revenue]]-Sheet1__3_1_1_1[[#This Row],[Discount_Amount]]</f>
        <v>120.38399999999999</v>
      </c>
      <c r="R922">
        <v>66.209999999999994</v>
      </c>
      <c r="S922">
        <f>Sheet1__3_1_1_1[[#This Row],[Net_Revenue]]-Sheet1__3_1_1_1[[#This Row],[COGS]]</f>
        <v>54.173999999999992</v>
      </c>
    </row>
    <row r="923" spans="1:19" x14ac:dyDescent="0.25">
      <c r="A923" t="s">
        <v>1018</v>
      </c>
      <c r="B923" s="1">
        <v>44565</v>
      </c>
      <c r="C923" t="s">
        <v>19</v>
      </c>
      <c r="D923" t="s">
        <v>130</v>
      </c>
      <c r="E923" t="s">
        <v>63</v>
      </c>
      <c r="F923" t="s">
        <v>22</v>
      </c>
      <c r="G923" t="s">
        <v>46</v>
      </c>
      <c r="H923" t="s">
        <v>24</v>
      </c>
      <c r="I923" t="s">
        <v>42</v>
      </c>
      <c r="J923" t="s">
        <v>94</v>
      </c>
      <c r="K923" t="s">
        <v>27</v>
      </c>
      <c r="L923">
        <v>19.38</v>
      </c>
      <c r="M923">
        <v>15</v>
      </c>
      <c r="N923" s="2">
        <v>0</v>
      </c>
      <c r="O923">
        <v>290.7</v>
      </c>
      <c r="P923">
        <v>0</v>
      </c>
      <c r="Q923">
        <f>Sheet1__3_1_1_1[[#This Row],[Gross_Revenue]]-Sheet1__3_1_1_1[[#This Row],[Discount_Amount]]</f>
        <v>290.7</v>
      </c>
      <c r="R923">
        <v>159.88999999999999</v>
      </c>
      <c r="S923">
        <f>Sheet1__3_1_1_1[[#This Row],[Net_Revenue]]-Sheet1__3_1_1_1[[#This Row],[COGS]]</f>
        <v>130.81</v>
      </c>
    </row>
    <row r="924" spans="1:19" x14ac:dyDescent="0.25">
      <c r="A924" t="s">
        <v>1019</v>
      </c>
      <c r="B924" s="1">
        <v>44935</v>
      </c>
      <c r="C924" t="s">
        <v>77</v>
      </c>
      <c r="D924" t="s">
        <v>78</v>
      </c>
      <c r="E924" t="s">
        <v>66</v>
      </c>
      <c r="F924" t="s">
        <v>55</v>
      </c>
      <c r="G924" t="s">
        <v>67</v>
      </c>
      <c r="H924" t="s">
        <v>33</v>
      </c>
      <c r="I924" t="s">
        <v>60</v>
      </c>
      <c r="J924" t="s">
        <v>89</v>
      </c>
      <c r="K924" t="s">
        <v>143</v>
      </c>
      <c r="L924">
        <v>82.3</v>
      </c>
      <c r="M924">
        <v>5</v>
      </c>
      <c r="N924" s="2">
        <v>0.2</v>
      </c>
      <c r="O924">
        <v>411.5</v>
      </c>
      <c r="P924">
        <v>82.300000000000011</v>
      </c>
      <c r="Q924">
        <f>Sheet1__3_1_1_1[[#This Row],[Gross_Revenue]]-Sheet1__3_1_1_1[[#This Row],[Discount_Amount]]</f>
        <v>329.2</v>
      </c>
      <c r="R924">
        <v>138.26</v>
      </c>
      <c r="S924">
        <f>Sheet1__3_1_1_1[[#This Row],[Net_Revenue]]-Sheet1__3_1_1_1[[#This Row],[COGS]]</f>
        <v>190.94</v>
      </c>
    </row>
    <row r="925" spans="1:19" x14ac:dyDescent="0.25">
      <c r="A925" t="s">
        <v>1020</v>
      </c>
      <c r="B925" s="1">
        <v>44845</v>
      </c>
      <c r="C925" t="s">
        <v>19</v>
      </c>
      <c r="D925" t="s">
        <v>91</v>
      </c>
      <c r="E925" t="s">
        <v>39</v>
      </c>
      <c r="F925" t="s">
        <v>69</v>
      </c>
      <c r="G925" t="s">
        <v>70</v>
      </c>
      <c r="H925" t="s">
        <v>108</v>
      </c>
      <c r="I925" t="s">
        <v>25</v>
      </c>
      <c r="J925" t="s">
        <v>26</v>
      </c>
      <c r="K925" t="s">
        <v>36</v>
      </c>
      <c r="L925">
        <v>342.61</v>
      </c>
      <c r="M925">
        <v>6</v>
      </c>
      <c r="N925" s="2">
        <v>0.15</v>
      </c>
      <c r="O925">
        <v>2055.66</v>
      </c>
      <c r="P925">
        <v>308.34899999999999</v>
      </c>
      <c r="Q925">
        <f>Sheet1__3_1_1_1[[#This Row],[Gross_Revenue]]-Sheet1__3_1_1_1[[#This Row],[Discount_Amount]]</f>
        <v>1747.3109999999999</v>
      </c>
      <c r="R925">
        <v>663.98</v>
      </c>
      <c r="S925">
        <f>Sheet1__3_1_1_1[[#This Row],[Net_Revenue]]-Sheet1__3_1_1_1[[#This Row],[COGS]]</f>
        <v>1083.3309999999999</v>
      </c>
    </row>
    <row r="926" spans="1:19" x14ac:dyDescent="0.25">
      <c r="A926" t="s">
        <v>1021</v>
      </c>
      <c r="B926" s="1">
        <v>45205</v>
      </c>
      <c r="C926" t="s">
        <v>77</v>
      </c>
      <c r="D926" t="s">
        <v>110</v>
      </c>
      <c r="E926" t="s">
        <v>21</v>
      </c>
      <c r="F926" t="s">
        <v>79</v>
      </c>
      <c r="G926" t="s">
        <v>80</v>
      </c>
      <c r="H926" t="s">
        <v>33</v>
      </c>
      <c r="I926" t="s">
        <v>60</v>
      </c>
      <c r="J926" t="s">
        <v>49</v>
      </c>
      <c r="K926" t="s">
        <v>143</v>
      </c>
      <c r="L926" t="s">
        <v>1147</v>
      </c>
      <c r="M926">
        <v>7</v>
      </c>
      <c r="N926" s="2">
        <v>0.2</v>
      </c>
      <c r="O926">
        <v>0</v>
      </c>
      <c r="P926">
        <v>0</v>
      </c>
      <c r="Q926">
        <f>Sheet1__3_1_1_1[[#This Row],[Gross_Revenue]]-Sheet1__3_1_1_1[[#This Row],[Discount_Amount]]</f>
        <v>0</v>
      </c>
      <c r="R926" t="s">
        <v>1147</v>
      </c>
      <c r="S926" t="e">
        <f>Sheet1__3_1_1_1[[#This Row],[Net_Revenue]]-Sheet1__3_1_1_1[[#This Row],[COGS]]</f>
        <v>#VALUE!</v>
      </c>
    </row>
    <row r="927" spans="1:19" x14ac:dyDescent="0.25">
      <c r="A927" t="s">
        <v>1022</v>
      </c>
      <c r="B927" s="1">
        <v>45264</v>
      </c>
      <c r="C927" t="s">
        <v>77</v>
      </c>
      <c r="D927" t="s">
        <v>110</v>
      </c>
      <c r="E927" t="s">
        <v>63</v>
      </c>
      <c r="F927" t="s">
        <v>22</v>
      </c>
      <c r="G927" t="s">
        <v>46</v>
      </c>
      <c r="H927" t="s">
        <v>41</v>
      </c>
      <c r="I927" t="s">
        <v>48</v>
      </c>
      <c r="J927" t="s">
        <v>49</v>
      </c>
      <c r="K927" t="s">
        <v>27</v>
      </c>
      <c r="L927">
        <v>21.94</v>
      </c>
      <c r="M927">
        <v>5</v>
      </c>
      <c r="N927" s="2">
        <v>0</v>
      </c>
      <c r="O927">
        <v>109.7</v>
      </c>
      <c r="P927">
        <v>0</v>
      </c>
      <c r="Q927">
        <f>Sheet1__3_1_1_1[[#This Row],[Gross_Revenue]]-Sheet1__3_1_1_1[[#This Row],[Discount_Amount]]</f>
        <v>109.7</v>
      </c>
      <c r="R927">
        <v>60.34</v>
      </c>
      <c r="S927">
        <f>Sheet1__3_1_1_1[[#This Row],[Net_Revenue]]-Sheet1__3_1_1_1[[#This Row],[COGS]]</f>
        <v>49.36</v>
      </c>
    </row>
    <row r="928" spans="1:19" x14ac:dyDescent="0.25">
      <c r="A928" t="s">
        <v>1023</v>
      </c>
      <c r="B928" s="1">
        <v>44969</v>
      </c>
      <c r="C928" t="s">
        <v>77</v>
      </c>
      <c r="D928" t="s">
        <v>78</v>
      </c>
      <c r="E928" t="s">
        <v>21</v>
      </c>
      <c r="F928" t="s">
        <v>69</v>
      </c>
      <c r="G928" t="s">
        <v>101</v>
      </c>
      <c r="H928" t="s">
        <v>52</v>
      </c>
      <c r="I928" t="s">
        <v>48</v>
      </c>
      <c r="J928" t="s">
        <v>94</v>
      </c>
      <c r="K928" t="s">
        <v>36</v>
      </c>
      <c r="L928">
        <v>9.6300000000000008</v>
      </c>
      <c r="M928">
        <v>12</v>
      </c>
      <c r="N928" s="2">
        <v>0</v>
      </c>
      <c r="O928">
        <v>115.56</v>
      </c>
      <c r="P928">
        <v>0</v>
      </c>
      <c r="Q928">
        <f>Sheet1__3_1_1_1[[#This Row],[Gross_Revenue]]-Sheet1__3_1_1_1[[#This Row],[Discount_Amount]]</f>
        <v>115.56</v>
      </c>
      <c r="R928">
        <v>43.91</v>
      </c>
      <c r="S928">
        <f>Sheet1__3_1_1_1[[#This Row],[Net_Revenue]]-Sheet1__3_1_1_1[[#This Row],[COGS]]</f>
        <v>71.650000000000006</v>
      </c>
    </row>
    <row r="929" spans="1:19" x14ac:dyDescent="0.25">
      <c r="A929" t="s">
        <v>1024</v>
      </c>
      <c r="B929" s="1">
        <v>45075</v>
      </c>
      <c r="C929" t="s">
        <v>44</v>
      </c>
      <c r="D929" t="s">
        <v>51</v>
      </c>
      <c r="E929" t="s">
        <v>21</v>
      </c>
      <c r="F929" t="s">
        <v>22</v>
      </c>
      <c r="G929" t="s">
        <v>75</v>
      </c>
      <c r="H929" t="s">
        <v>41</v>
      </c>
      <c r="I929" t="s">
        <v>25</v>
      </c>
      <c r="J929" t="s">
        <v>35</v>
      </c>
      <c r="K929" t="s">
        <v>36</v>
      </c>
      <c r="L929">
        <v>9.94</v>
      </c>
      <c r="M929">
        <v>28</v>
      </c>
      <c r="N929" s="2">
        <v>0.05</v>
      </c>
      <c r="O929">
        <v>278.32</v>
      </c>
      <c r="P929">
        <v>13.916</v>
      </c>
      <c r="Q929">
        <f>Sheet1__3_1_1_1[[#This Row],[Gross_Revenue]]-Sheet1__3_1_1_1[[#This Row],[Discount_Amount]]</f>
        <v>264.404</v>
      </c>
      <c r="R929">
        <v>145.41999999999999</v>
      </c>
      <c r="S929">
        <f>Sheet1__3_1_1_1[[#This Row],[Net_Revenue]]-Sheet1__3_1_1_1[[#This Row],[COGS]]</f>
        <v>118.98400000000001</v>
      </c>
    </row>
    <row r="930" spans="1:19" x14ac:dyDescent="0.25">
      <c r="A930" t="s">
        <v>1025</v>
      </c>
      <c r="B930" s="1">
        <v>44771</v>
      </c>
      <c r="C930" t="s">
        <v>77</v>
      </c>
      <c r="D930" t="s">
        <v>82</v>
      </c>
      <c r="E930" t="s">
        <v>21</v>
      </c>
      <c r="F930" t="s">
        <v>22</v>
      </c>
      <c r="G930" t="s">
        <v>46</v>
      </c>
      <c r="H930" t="s">
        <v>71</v>
      </c>
      <c r="I930" t="s">
        <v>25</v>
      </c>
      <c r="J930" t="s">
        <v>94</v>
      </c>
      <c r="K930" t="s">
        <v>27</v>
      </c>
      <c r="L930">
        <v>17.52</v>
      </c>
      <c r="M930">
        <v>12</v>
      </c>
      <c r="N930" s="2">
        <v>0.1</v>
      </c>
      <c r="O930">
        <v>210.24</v>
      </c>
      <c r="P930">
        <v>21.024000000000001</v>
      </c>
      <c r="Q930">
        <f>Sheet1__3_1_1_1[[#This Row],[Gross_Revenue]]-Sheet1__3_1_1_1[[#This Row],[Discount_Amount]]</f>
        <v>189.21600000000001</v>
      </c>
      <c r="R930">
        <v>104.07</v>
      </c>
      <c r="S930">
        <f>Sheet1__3_1_1_1[[#This Row],[Net_Revenue]]-Sheet1__3_1_1_1[[#This Row],[COGS]]</f>
        <v>85.146000000000015</v>
      </c>
    </row>
    <row r="931" spans="1:19" x14ac:dyDescent="0.25">
      <c r="A931" t="s">
        <v>1026</v>
      </c>
      <c r="B931" s="1">
        <v>44603</v>
      </c>
      <c r="C931" t="s">
        <v>44</v>
      </c>
      <c r="D931" t="s">
        <v>45</v>
      </c>
      <c r="E931" t="s">
        <v>21</v>
      </c>
      <c r="F931" t="s">
        <v>55</v>
      </c>
      <c r="G931" t="s">
        <v>83</v>
      </c>
      <c r="H931" t="s">
        <v>111</v>
      </c>
      <c r="I931" t="s">
        <v>48</v>
      </c>
      <c r="J931" t="s">
        <v>49</v>
      </c>
      <c r="K931" t="s">
        <v>36</v>
      </c>
      <c r="L931">
        <v>66.239999999999995</v>
      </c>
      <c r="M931">
        <v>7</v>
      </c>
      <c r="N931" s="2">
        <v>0</v>
      </c>
      <c r="O931">
        <v>463.67999999999995</v>
      </c>
      <c r="P931">
        <v>0</v>
      </c>
      <c r="Q931">
        <f>Sheet1__3_1_1_1[[#This Row],[Gross_Revenue]]-Sheet1__3_1_1_1[[#This Row],[Discount_Amount]]</f>
        <v>463.67999999999995</v>
      </c>
      <c r="R931">
        <v>194.75</v>
      </c>
      <c r="S931">
        <f>Sheet1__3_1_1_1[[#This Row],[Net_Revenue]]-Sheet1__3_1_1_1[[#This Row],[COGS]]</f>
        <v>268.92999999999995</v>
      </c>
    </row>
    <row r="932" spans="1:19" x14ac:dyDescent="0.25">
      <c r="A932" t="s">
        <v>1027</v>
      </c>
      <c r="B932" s="1">
        <v>44744</v>
      </c>
      <c r="C932" t="s">
        <v>44</v>
      </c>
      <c r="D932" t="s">
        <v>51</v>
      </c>
      <c r="E932" t="s">
        <v>63</v>
      </c>
      <c r="F932" t="s">
        <v>22</v>
      </c>
      <c r="G932" t="s">
        <v>149</v>
      </c>
      <c r="H932" t="s">
        <v>24</v>
      </c>
      <c r="I932" t="s">
        <v>42</v>
      </c>
      <c r="J932" t="s">
        <v>26</v>
      </c>
      <c r="K932" t="s">
        <v>53</v>
      </c>
      <c r="L932">
        <v>20.09</v>
      </c>
      <c r="M932">
        <v>24</v>
      </c>
      <c r="N932" s="2">
        <v>0</v>
      </c>
      <c r="O932">
        <v>482.15999999999997</v>
      </c>
      <c r="P932">
        <v>0</v>
      </c>
      <c r="Q932">
        <f>Sheet1__3_1_1_1[[#This Row],[Gross_Revenue]]-Sheet1__3_1_1_1[[#This Row],[Discount_Amount]]</f>
        <v>482.15999999999997</v>
      </c>
      <c r="R932">
        <v>265.19</v>
      </c>
      <c r="S932">
        <f>Sheet1__3_1_1_1[[#This Row],[Net_Revenue]]-Sheet1__3_1_1_1[[#This Row],[COGS]]</f>
        <v>216.96999999999997</v>
      </c>
    </row>
    <row r="933" spans="1:19" x14ac:dyDescent="0.25">
      <c r="A933" t="s">
        <v>1028</v>
      </c>
      <c r="B933" s="1">
        <v>45231</v>
      </c>
      <c r="C933" t="s">
        <v>44</v>
      </c>
      <c r="D933" t="s">
        <v>45</v>
      </c>
      <c r="E933" t="s">
        <v>63</v>
      </c>
      <c r="F933" t="s">
        <v>31</v>
      </c>
      <c r="G933" t="s">
        <v>32</v>
      </c>
      <c r="H933" t="s">
        <v>71</v>
      </c>
      <c r="I933" t="s">
        <v>34</v>
      </c>
      <c r="J933" t="s">
        <v>26</v>
      </c>
      <c r="K933" t="s">
        <v>36</v>
      </c>
      <c r="L933">
        <v>336.55</v>
      </c>
      <c r="M933">
        <v>4</v>
      </c>
      <c r="N933" s="2">
        <v>0.15</v>
      </c>
      <c r="O933">
        <v>1346.2</v>
      </c>
      <c r="P933">
        <v>201.93</v>
      </c>
      <c r="Q933">
        <f>Sheet1__3_1_1_1[[#This Row],[Gross_Revenue]]-Sheet1__3_1_1_1[[#This Row],[Discount_Amount]]</f>
        <v>1144.27</v>
      </c>
      <c r="R933">
        <v>549.25</v>
      </c>
      <c r="S933">
        <f>Sheet1__3_1_1_1[[#This Row],[Net_Revenue]]-Sheet1__3_1_1_1[[#This Row],[COGS]]</f>
        <v>595.02</v>
      </c>
    </row>
    <row r="934" spans="1:19" x14ac:dyDescent="0.25">
      <c r="A934" t="s">
        <v>1029</v>
      </c>
      <c r="B934" s="1">
        <v>44713</v>
      </c>
      <c r="C934" t="s">
        <v>44</v>
      </c>
      <c r="D934" t="s">
        <v>65</v>
      </c>
      <c r="E934" t="s">
        <v>21</v>
      </c>
      <c r="F934" t="s">
        <v>31</v>
      </c>
      <c r="G934" t="s">
        <v>32</v>
      </c>
      <c r="H934" t="s">
        <v>108</v>
      </c>
      <c r="I934" t="s">
        <v>60</v>
      </c>
      <c r="J934" t="s">
        <v>49</v>
      </c>
      <c r="K934" t="s">
        <v>143</v>
      </c>
      <c r="L934">
        <v>385.72</v>
      </c>
      <c r="M934">
        <v>7</v>
      </c>
      <c r="N934" s="2">
        <v>0.05</v>
      </c>
      <c r="O934">
        <v>2700.04</v>
      </c>
      <c r="P934">
        <v>135.00200000000001</v>
      </c>
      <c r="Q934">
        <f>Sheet1__3_1_1_1[[#This Row],[Gross_Revenue]]-Sheet1__3_1_1_1[[#This Row],[Discount_Amount]]</f>
        <v>2565.038</v>
      </c>
      <c r="R934">
        <v>1231.22</v>
      </c>
      <c r="S934">
        <f>Sheet1__3_1_1_1[[#This Row],[Net_Revenue]]-Sheet1__3_1_1_1[[#This Row],[COGS]]</f>
        <v>1333.818</v>
      </c>
    </row>
    <row r="935" spans="1:19" x14ac:dyDescent="0.25">
      <c r="A935" t="s">
        <v>1030</v>
      </c>
      <c r="B935" s="1">
        <v>44708</v>
      </c>
      <c r="C935" t="s">
        <v>77</v>
      </c>
      <c r="D935" t="s">
        <v>78</v>
      </c>
      <c r="E935" t="s">
        <v>66</v>
      </c>
      <c r="F935" t="s">
        <v>22</v>
      </c>
      <c r="G935" t="s">
        <v>149</v>
      </c>
      <c r="H935" t="s">
        <v>87</v>
      </c>
      <c r="I935" t="s">
        <v>60</v>
      </c>
      <c r="J935" t="s">
        <v>49</v>
      </c>
      <c r="K935" t="s">
        <v>36</v>
      </c>
      <c r="L935">
        <v>21.68</v>
      </c>
      <c r="M935">
        <v>20</v>
      </c>
      <c r="N935" s="2">
        <v>0.2</v>
      </c>
      <c r="O935">
        <v>433.6</v>
      </c>
      <c r="P935">
        <v>86.720000000000013</v>
      </c>
      <c r="Q935">
        <f>Sheet1__3_1_1_1[[#This Row],[Gross_Revenue]]-Sheet1__3_1_1_1[[#This Row],[Discount_Amount]]</f>
        <v>346.88</v>
      </c>
      <c r="R935">
        <v>190.78</v>
      </c>
      <c r="S935">
        <f>Sheet1__3_1_1_1[[#This Row],[Net_Revenue]]-Sheet1__3_1_1_1[[#This Row],[COGS]]</f>
        <v>156.1</v>
      </c>
    </row>
    <row r="936" spans="1:19" x14ac:dyDescent="0.25">
      <c r="A936" t="s">
        <v>1031</v>
      </c>
      <c r="B936" s="1">
        <v>45283</v>
      </c>
      <c r="C936" t="s">
        <v>44</v>
      </c>
      <c r="D936" t="s">
        <v>51</v>
      </c>
      <c r="E936" t="s">
        <v>66</v>
      </c>
      <c r="F936" t="s">
        <v>79</v>
      </c>
      <c r="G936" t="s">
        <v>80</v>
      </c>
      <c r="H936" t="s">
        <v>108</v>
      </c>
      <c r="I936" t="s">
        <v>25</v>
      </c>
      <c r="J936" t="s">
        <v>49</v>
      </c>
      <c r="K936" t="s">
        <v>143</v>
      </c>
      <c r="L936">
        <v>736.58</v>
      </c>
      <c r="M936">
        <v>6</v>
      </c>
      <c r="N936" s="2">
        <v>0</v>
      </c>
      <c r="O936">
        <v>4419.4800000000005</v>
      </c>
      <c r="P936">
        <v>0</v>
      </c>
      <c r="Q936">
        <f>Sheet1__3_1_1_1[[#This Row],[Gross_Revenue]]-Sheet1__3_1_1_1[[#This Row],[Discount_Amount]]</f>
        <v>4419.4800000000005</v>
      </c>
      <c r="R936">
        <v>2740.08</v>
      </c>
      <c r="S936">
        <f>Sheet1__3_1_1_1[[#This Row],[Net_Revenue]]-Sheet1__3_1_1_1[[#This Row],[COGS]]</f>
        <v>1679.4000000000005</v>
      </c>
    </row>
    <row r="937" spans="1:19" x14ac:dyDescent="0.25">
      <c r="A937" t="s">
        <v>1032</v>
      </c>
      <c r="B937" s="1">
        <v>44738</v>
      </c>
      <c r="C937" t="s">
        <v>99</v>
      </c>
      <c r="D937" t="s">
        <v>100</v>
      </c>
      <c r="E937" t="s">
        <v>63</v>
      </c>
      <c r="F937" t="s">
        <v>22</v>
      </c>
      <c r="G937" t="s">
        <v>113</v>
      </c>
      <c r="H937" t="s">
        <v>57</v>
      </c>
      <c r="I937" t="s">
        <v>48</v>
      </c>
      <c r="J937" t="s">
        <v>35</v>
      </c>
      <c r="K937" t="s">
        <v>36</v>
      </c>
      <c r="L937">
        <v>14.39</v>
      </c>
      <c r="M937">
        <v>30</v>
      </c>
      <c r="N937" s="2">
        <v>0</v>
      </c>
      <c r="O937">
        <v>431.70000000000005</v>
      </c>
      <c r="P937">
        <v>0</v>
      </c>
      <c r="Q937">
        <f>Sheet1__3_1_1_1[[#This Row],[Gross_Revenue]]-Sheet1__3_1_1_1[[#This Row],[Discount_Amount]]</f>
        <v>431.70000000000005</v>
      </c>
      <c r="R937">
        <v>237.44</v>
      </c>
      <c r="S937">
        <f>Sheet1__3_1_1_1[[#This Row],[Net_Revenue]]-Sheet1__3_1_1_1[[#This Row],[COGS]]</f>
        <v>194.26000000000005</v>
      </c>
    </row>
    <row r="938" spans="1:19" x14ac:dyDescent="0.25">
      <c r="A938" t="s">
        <v>1033</v>
      </c>
      <c r="B938" s="1">
        <v>44724</v>
      </c>
      <c r="C938" t="s">
        <v>44</v>
      </c>
      <c r="D938" t="s">
        <v>45</v>
      </c>
      <c r="E938" t="s">
        <v>39</v>
      </c>
      <c r="F938" t="s">
        <v>79</v>
      </c>
      <c r="G938" t="s">
        <v>80</v>
      </c>
      <c r="H938" t="s">
        <v>106</v>
      </c>
      <c r="I938" t="s">
        <v>25</v>
      </c>
      <c r="J938" t="s">
        <v>49</v>
      </c>
      <c r="K938" t="s">
        <v>36</v>
      </c>
      <c r="L938">
        <v>622.44000000000005</v>
      </c>
      <c r="M938">
        <v>8</v>
      </c>
      <c r="N938" s="2">
        <v>0</v>
      </c>
      <c r="O938">
        <v>4979.5200000000004</v>
      </c>
      <c r="P938">
        <v>0</v>
      </c>
      <c r="Q938">
        <f>Sheet1__3_1_1_1[[#This Row],[Gross_Revenue]]-Sheet1__3_1_1_1[[#This Row],[Discount_Amount]]</f>
        <v>4979.5200000000004</v>
      </c>
      <c r="R938">
        <v>3087.3</v>
      </c>
      <c r="S938">
        <f>Sheet1__3_1_1_1[[#This Row],[Net_Revenue]]-Sheet1__3_1_1_1[[#This Row],[COGS]]</f>
        <v>1892.2200000000003</v>
      </c>
    </row>
    <row r="939" spans="1:19" x14ac:dyDescent="0.25">
      <c r="A939" t="s">
        <v>1034</v>
      </c>
      <c r="B939" s="1">
        <v>44603</v>
      </c>
      <c r="C939" t="s">
        <v>44</v>
      </c>
      <c r="D939" t="s">
        <v>65</v>
      </c>
      <c r="E939" t="s">
        <v>39</v>
      </c>
      <c r="F939" t="s">
        <v>79</v>
      </c>
      <c r="G939" t="s">
        <v>96</v>
      </c>
      <c r="H939" t="s">
        <v>71</v>
      </c>
      <c r="I939" t="s">
        <v>42</v>
      </c>
      <c r="J939" t="s">
        <v>26</v>
      </c>
      <c r="K939" t="s">
        <v>36</v>
      </c>
      <c r="L939">
        <v>344.48</v>
      </c>
      <c r="M939">
        <v>3</v>
      </c>
      <c r="N939" s="2">
        <v>0</v>
      </c>
      <c r="O939">
        <v>1033.44</v>
      </c>
      <c r="P939">
        <v>0</v>
      </c>
      <c r="Q939">
        <f>Sheet1__3_1_1_1[[#This Row],[Gross_Revenue]]-Sheet1__3_1_1_1[[#This Row],[Discount_Amount]]</f>
        <v>1033.44</v>
      </c>
      <c r="R939">
        <v>640.73</v>
      </c>
      <c r="S939">
        <f>Sheet1__3_1_1_1[[#This Row],[Net_Revenue]]-Sheet1__3_1_1_1[[#This Row],[COGS]]</f>
        <v>392.71000000000004</v>
      </c>
    </row>
    <row r="940" spans="1:19" x14ac:dyDescent="0.25">
      <c r="A940" t="s">
        <v>1035</v>
      </c>
      <c r="B940" s="1">
        <v>45052</v>
      </c>
      <c r="C940" t="s">
        <v>44</v>
      </c>
      <c r="D940" t="s">
        <v>45</v>
      </c>
      <c r="E940" t="s">
        <v>63</v>
      </c>
      <c r="F940" t="s">
        <v>55</v>
      </c>
      <c r="G940" t="s">
        <v>56</v>
      </c>
      <c r="H940" t="s">
        <v>24</v>
      </c>
      <c r="I940" t="s">
        <v>60</v>
      </c>
      <c r="J940" t="s">
        <v>26</v>
      </c>
      <c r="K940" t="s">
        <v>143</v>
      </c>
      <c r="L940">
        <v>46.35</v>
      </c>
      <c r="M940">
        <v>6</v>
      </c>
      <c r="N940" s="2">
        <v>0</v>
      </c>
      <c r="O940">
        <v>278.10000000000002</v>
      </c>
      <c r="P940">
        <v>0</v>
      </c>
      <c r="Q940">
        <f>Sheet1__3_1_1_1[[#This Row],[Gross_Revenue]]-Sheet1__3_1_1_1[[#This Row],[Discount_Amount]]</f>
        <v>278.10000000000002</v>
      </c>
      <c r="R940">
        <v>116.8</v>
      </c>
      <c r="S940">
        <f>Sheet1__3_1_1_1[[#This Row],[Net_Revenue]]-Sheet1__3_1_1_1[[#This Row],[COGS]]</f>
        <v>161.30000000000001</v>
      </c>
    </row>
    <row r="941" spans="1:19" x14ac:dyDescent="0.25">
      <c r="A941" t="s">
        <v>1036</v>
      </c>
      <c r="B941" s="1">
        <v>44627</v>
      </c>
      <c r="C941" t="s">
        <v>44</v>
      </c>
      <c r="D941" t="s">
        <v>51</v>
      </c>
      <c r="E941" t="s">
        <v>66</v>
      </c>
      <c r="F941" t="s">
        <v>22</v>
      </c>
      <c r="G941" t="s">
        <v>149</v>
      </c>
      <c r="H941" t="s">
        <v>59</v>
      </c>
      <c r="I941" t="s">
        <v>34</v>
      </c>
      <c r="J941" t="s">
        <v>35</v>
      </c>
      <c r="K941" t="s">
        <v>27</v>
      </c>
      <c r="L941">
        <v>18.75</v>
      </c>
      <c r="M941">
        <v>15</v>
      </c>
      <c r="N941" s="2">
        <v>0.2</v>
      </c>
      <c r="O941">
        <v>281.25</v>
      </c>
      <c r="P941">
        <v>56.25</v>
      </c>
      <c r="Q941">
        <f>Sheet1__3_1_1_1[[#This Row],[Gross_Revenue]]-Sheet1__3_1_1_1[[#This Row],[Discount_Amount]]</f>
        <v>225</v>
      </c>
      <c r="R941">
        <v>123.75</v>
      </c>
      <c r="S941">
        <f>Sheet1__3_1_1_1[[#This Row],[Net_Revenue]]-Sheet1__3_1_1_1[[#This Row],[COGS]]</f>
        <v>101.25</v>
      </c>
    </row>
    <row r="942" spans="1:19" x14ac:dyDescent="0.25">
      <c r="A942" t="s">
        <v>1037</v>
      </c>
      <c r="B942" s="1">
        <v>45073</v>
      </c>
      <c r="C942" t="s">
        <v>99</v>
      </c>
      <c r="D942" t="s">
        <v>100</v>
      </c>
      <c r="E942" t="s">
        <v>63</v>
      </c>
      <c r="F942" t="s">
        <v>55</v>
      </c>
      <c r="G942" t="s">
        <v>120</v>
      </c>
      <c r="H942" t="s">
        <v>52</v>
      </c>
      <c r="I942" t="s">
        <v>48</v>
      </c>
      <c r="J942" t="s">
        <v>89</v>
      </c>
      <c r="K942" t="s">
        <v>53</v>
      </c>
      <c r="L942">
        <v>116.48</v>
      </c>
      <c r="M942">
        <v>6</v>
      </c>
      <c r="N942" s="2">
        <v>0.05</v>
      </c>
      <c r="O942">
        <v>698.88</v>
      </c>
      <c r="P942">
        <v>34.944000000000003</v>
      </c>
      <c r="Q942">
        <f>Sheet1__3_1_1_1[[#This Row],[Gross_Revenue]]-Sheet1__3_1_1_1[[#This Row],[Discount_Amount]]</f>
        <v>663.93600000000004</v>
      </c>
      <c r="R942">
        <v>278.85000000000002</v>
      </c>
      <c r="S942">
        <f>Sheet1__3_1_1_1[[#This Row],[Net_Revenue]]-Sheet1__3_1_1_1[[#This Row],[COGS]]</f>
        <v>385.08600000000001</v>
      </c>
    </row>
    <row r="943" spans="1:19" x14ac:dyDescent="0.25">
      <c r="A943" t="s">
        <v>1038</v>
      </c>
      <c r="B943" s="1">
        <v>44631</v>
      </c>
      <c r="C943" t="s">
        <v>29</v>
      </c>
      <c r="D943" t="s">
        <v>30</v>
      </c>
      <c r="E943" t="s">
        <v>39</v>
      </c>
      <c r="F943" t="s">
        <v>31</v>
      </c>
      <c r="G943" t="s">
        <v>40</v>
      </c>
      <c r="H943" t="s">
        <v>111</v>
      </c>
      <c r="I943" t="s">
        <v>25</v>
      </c>
      <c r="J943" t="s">
        <v>89</v>
      </c>
      <c r="K943" t="s">
        <v>36</v>
      </c>
      <c r="L943">
        <v>224.27</v>
      </c>
      <c r="M943">
        <v>7</v>
      </c>
      <c r="N943" s="2">
        <v>0</v>
      </c>
      <c r="O943">
        <v>1569.89</v>
      </c>
      <c r="P943">
        <v>0</v>
      </c>
      <c r="Q943">
        <f>Sheet1__3_1_1_1[[#This Row],[Gross_Revenue]]-Sheet1__3_1_1_1[[#This Row],[Discount_Amount]]</f>
        <v>1569.89</v>
      </c>
      <c r="R943">
        <v>753.55</v>
      </c>
      <c r="S943">
        <f>Sheet1__3_1_1_1[[#This Row],[Net_Revenue]]-Sheet1__3_1_1_1[[#This Row],[COGS]]</f>
        <v>816.34000000000015</v>
      </c>
    </row>
    <row r="944" spans="1:19" x14ac:dyDescent="0.25">
      <c r="A944" t="s">
        <v>1039</v>
      </c>
      <c r="B944" s="1">
        <v>44713</v>
      </c>
      <c r="C944" t="s">
        <v>44</v>
      </c>
      <c r="D944" t="s">
        <v>51</v>
      </c>
      <c r="E944" t="s">
        <v>63</v>
      </c>
      <c r="F944" t="s">
        <v>22</v>
      </c>
      <c r="G944" t="s">
        <v>75</v>
      </c>
      <c r="H944" t="s">
        <v>108</v>
      </c>
      <c r="I944" t="s">
        <v>42</v>
      </c>
      <c r="J944" t="s">
        <v>94</v>
      </c>
      <c r="K944" t="s">
        <v>27</v>
      </c>
      <c r="L944">
        <v>9.1</v>
      </c>
      <c r="M944">
        <v>27</v>
      </c>
      <c r="N944" s="2">
        <v>0.2</v>
      </c>
      <c r="O944">
        <v>245.7</v>
      </c>
      <c r="P944">
        <v>49.14</v>
      </c>
      <c r="Q944">
        <f>Sheet1__3_1_1_1[[#This Row],[Gross_Revenue]]-Sheet1__3_1_1_1[[#This Row],[Discount_Amount]]</f>
        <v>196.56</v>
      </c>
      <c r="R944">
        <v>108.11</v>
      </c>
      <c r="S944">
        <f>Sheet1__3_1_1_1[[#This Row],[Net_Revenue]]-Sheet1__3_1_1_1[[#This Row],[COGS]]</f>
        <v>88.45</v>
      </c>
    </row>
    <row r="945" spans="1:19" x14ac:dyDescent="0.25">
      <c r="A945" t="s">
        <v>1040</v>
      </c>
      <c r="B945" s="1">
        <v>44692</v>
      </c>
      <c r="C945" t="s">
        <v>19</v>
      </c>
      <c r="D945" t="s">
        <v>20</v>
      </c>
      <c r="E945" t="s">
        <v>66</v>
      </c>
      <c r="F945" t="s">
        <v>55</v>
      </c>
      <c r="G945" t="s">
        <v>56</v>
      </c>
      <c r="H945" t="s">
        <v>52</v>
      </c>
      <c r="I945" t="s">
        <v>42</v>
      </c>
      <c r="J945" t="s">
        <v>26</v>
      </c>
      <c r="K945" t="s">
        <v>27</v>
      </c>
      <c r="L945">
        <v>40.9</v>
      </c>
      <c r="M945">
        <v>5</v>
      </c>
      <c r="N945" s="2">
        <v>0.1</v>
      </c>
      <c r="O945">
        <v>204.5</v>
      </c>
      <c r="P945">
        <v>20.450000000000003</v>
      </c>
      <c r="Q945">
        <f>Sheet1__3_1_1_1[[#This Row],[Gross_Revenue]]-Sheet1__3_1_1_1[[#This Row],[Discount_Amount]]</f>
        <v>184.05</v>
      </c>
      <c r="R945">
        <v>77.3</v>
      </c>
      <c r="S945">
        <f>Sheet1__3_1_1_1[[#This Row],[Net_Revenue]]-Sheet1__3_1_1_1[[#This Row],[COGS]]</f>
        <v>106.75000000000001</v>
      </c>
    </row>
    <row r="946" spans="1:19" x14ac:dyDescent="0.25">
      <c r="A946" t="s">
        <v>1041</v>
      </c>
      <c r="B946" s="1">
        <v>45166</v>
      </c>
      <c r="C946" t="s">
        <v>29</v>
      </c>
      <c r="D946" t="s">
        <v>38</v>
      </c>
      <c r="E946" t="s">
        <v>21</v>
      </c>
      <c r="F946" t="s">
        <v>69</v>
      </c>
      <c r="G946" t="s">
        <v>190</v>
      </c>
      <c r="H946" t="s">
        <v>87</v>
      </c>
      <c r="I946" t="s">
        <v>48</v>
      </c>
      <c r="J946" t="s">
        <v>49</v>
      </c>
      <c r="K946" t="s">
        <v>143</v>
      </c>
      <c r="L946">
        <v>18.04</v>
      </c>
      <c r="M946">
        <v>14</v>
      </c>
      <c r="N946" s="2">
        <v>0</v>
      </c>
      <c r="O946">
        <v>252.56</v>
      </c>
      <c r="P946">
        <v>0</v>
      </c>
      <c r="Q946">
        <f>Sheet1__3_1_1_1[[#This Row],[Gross_Revenue]]-Sheet1__3_1_1_1[[#This Row],[Discount_Amount]]</f>
        <v>252.56</v>
      </c>
      <c r="R946">
        <v>95.97</v>
      </c>
      <c r="S946">
        <f>Sheet1__3_1_1_1[[#This Row],[Net_Revenue]]-Sheet1__3_1_1_1[[#This Row],[COGS]]</f>
        <v>156.59</v>
      </c>
    </row>
    <row r="947" spans="1:19" x14ac:dyDescent="0.25">
      <c r="A947" t="s">
        <v>1042</v>
      </c>
      <c r="B947" s="1">
        <v>44967</v>
      </c>
      <c r="C947" t="s">
        <v>44</v>
      </c>
      <c r="D947" t="s">
        <v>65</v>
      </c>
      <c r="E947" t="s">
        <v>66</v>
      </c>
      <c r="F947" t="s">
        <v>55</v>
      </c>
      <c r="G947" t="s">
        <v>103</v>
      </c>
      <c r="H947" t="s">
        <v>59</v>
      </c>
      <c r="I947" t="s">
        <v>42</v>
      </c>
      <c r="J947" t="s">
        <v>35</v>
      </c>
      <c r="K947" t="s">
        <v>27</v>
      </c>
      <c r="L947">
        <v>157.51</v>
      </c>
      <c r="M947">
        <v>6</v>
      </c>
      <c r="N947" s="2">
        <v>0.1</v>
      </c>
      <c r="O947">
        <v>945.06</v>
      </c>
      <c r="P947">
        <v>94.506</v>
      </c>
      <c r="Q947">
        <f>Sheet1__3_1_1_1[[#This Row],[Gross_Revenue]]-Sheet1__3_1_1_1[[#This Row],[Discount_Amount]]</f>
        <v>850.55399999999997</v>
      </c>
      <c r="R947">
        <v>357.23</v>
      </c>
      <c r="S947">
        <f>Sheet1__3_1_1_1[[#This Row],[Net_Revenue]]-Sheet1__3_1_1_1[[#This Row],[COGS]]</f>
        <v>493.32399999999996</v>
      </c>
    </row>
    <row r="948" spans="1:19" x14ac:dyDescent="0.25">
      <c r="A948" t="s">
        <v>1043</v>
      </c>
      <c r="B948" s="1">
        <v>45088</v>
      </c>
      <c r="C948" t="s">
        <v>29</v>
      </c>
      <c r="D948" t="s">
        <v>62</v>
      </c>
      <c r="E948" t="s">
        <v>21</v>
      </c>
      <c r="F948" t="s">
        <v>22</v>
      </c>
      <c r="G948" t="s">
        <v>113</v>
      </c>
      <c r="H948" t="s">
        <v>106</v>
      </c>
      <c r="I948" t="s">
        <v>34</v>
      </c>
      <c r="J948" t="s">
        <v>35</v>
      </c>
      <c r="K948" t="s">
        <v>27</v>
      </c>
      <c r="L948">
        <v>13.19</v>
      </c>
      <c r="M948">
        <v>16</v>
      </c>
      <c r="N948" s="2">
        <v>0.15</v>
      </c>
      <c r="O948">
        <v>211.04</v>
      </c>
      <c r="P948">
        <v>31.655999999999999</v>
      </c>
      <c r="Q948">
        <f>Sheet1__3_1_1_1[[#This Row],[Gross_Revenue]]-Sheet1__3_1_1_1[[#This Row],[Discount_Amount]]</f>
        <v>179.38399999999999</v>
      </c>
      <c r="R948">
        <v>98.66</v>
      </c>
      <c r="S948">
        <f>Sheet1__3_1_1_1[[#This Row],[Net_Revenue]]-Sheet1__3_1_1_1[[#This Row],[COGS]]</f>
        <v>80.72399999999999</v>
      </c>
    </row>
    <row r="949" spans="1:19" x14ac:dyDescent="0.25">
      <c r="A949" t="s">
        <v>1044</v>
      </c>
      <c r="B949" s="1">
        <v>45028</v>
      </c>
      <c r="C949" t="s">
        <v>19</v>
      </c>
      <c r="D949" t="s">
        <v>20</v>
      </c>
      <c r="E949" t="s">
        <v>21</v>
      </c>
      <c r="F949" t="s">
        <v>55</v>
      </c>
      <c r="G949" t="s">
        <v>103</v>
      </c>
      <c r="H949" t="s">
        <v>59</v>
      </c>
      <c r="I949" t="s">
        <v>60</v>
      </c>
      <c r="J949" t="s">
        <v>35</v>
      </c>
      <c r="K949" t="s">
        <v>27</v>
      </c>
      <c r="L949">
        <v>194.42</v>
      </c>
      <c r="M949">
        <v>7</v>
      </c>
      <c r="N949" s="2">
        <v>0</v>
      </c>
      <c r="O949">
        <v>1360.9399999999998</v>
      </c>
      <c r="P949">
        <v>0</v>
      </c>
      <c r="Q949">
        <f>Sheet1__3_1_1_1[[#This Row],[Gross_Revenue]]-Sheet1__3_1_1_1[[#This Row],[Discount_Amount]]</f>
        <v>1360.9399999999998</v>
      </c>
      <c r="R949">
        <v>571.59</v>
      </c>
      <c r="S949">
        <f>Sheet1__3_1_1_1[[#This Row],[Net_Revenue]]-Sheet1__3_1_1_1[[#This Row],[COGS]]</f>
        <v>789.3499999999998</v>
      </c>
    </row>
    <row r="950" spans="1:19" x14ac:dyDescent="0.25">
      <c r="A950" t="s">
        <v>1045</v>
      </c>
      <c r="B950" s="1">
        <v>44784</v>
      </c>
      <c r="C950" t="s">
        <v>44</v>
      </c>
      <c r="D950" t="s">
        <v>51</v>
      </c>
      <c r="E950" t="s">
        <v>63</v>
      </c>
      <c r="F950" t="s">
        <v>55</v>
      </c>
      <c r="G950" t="s">
        <v>103</v>
      </c>
      <c r="H950" t="s">
        <v>106</v>
      </c>
      <c r="I950" t="s">
        <v>25</v>
      </c>
      <c r="J950" t="s">
        <v>49</v>
      </c>
      <c r="K950" t="s">
        <v>27</v>
      </c>
      <c r="L950">
        <v>151.66</v>
      </c>
      <c r="M950">
        <v>5</v>
      </c>
      <c r="N950" s="2">
        <v>0.1</v>
      </c>
      <c r="O950">
        <v>758.3</v>
      </c>
      <c r="P950">
        <v>75.83</v>
      </c>
      <c r="Q950">
        <f>Sheet1__3_1_1_1[[#This Row],[Gross_Revenue]]-Sheet1__3_1_1_1[[#This Row],[Discount_Amount]]</f>
        <v>682.46999999999991</v>
      </c>
      <c r="R950">
        <v>286.64</v>
      </c>
      <c r="S950">
        <f>Sheet1__3_1_1_1[[#This Row],[Net_Revenue]]-Sheet1__3_1_1_1[[#This Row],[COGS]]</f>
        <v>395.82999999999993</v>
      </c>
    </row>
    <row r="951" spans="1:19" x14ac:dyDescent="0.25">
      <c r="A951" t="s">
        <v>1046</v>
      </c>
      <c r="B951" s="1">
        <v>45273</v>
      </c>
      <c r="C951" t="s">
        <v>99</v>
      </c>
      <c r="D951" t="s">
        <v>100</v>
      </c>
      <c r="E951" t="s">
        <v>66</v>
      </c>
      <c r="F951" t="s">
        <v>79</v>
      </c>
      <c r="G951" t="s">
        <v>80</v>
      </c>
      <c r="H951" t="s">
        <v>108</v>
      </c>
      <c r="I951" t="s">
        <v>60</v>
      </c>
      <c r="J951" t="s">
        <v>49</v>
      </c>
      <c r="K951" t="s">
        <v>36</v>
      </c>
      <c r="L951">
        <v>567.41999999999996</v>
      </c>
      <c r="M951">
        <v>1</v>
      </c>
      <c r="N951" s="2">
        <v>0</v>
      </c>
      <c r="O951">
        <v>567.41999999999996</v>
      </c>
      <c r="P951">
        <v>0</v>
      </c>
      <c r="Q951">
        <f>Sheet1__3_1_1_1[[#This Row],[Gross_Revenue]]-Sheet1__3_1_1_1[[#This Row],[Discount_Amount]]</f>
        <v>567.41999999999996</v>
      </c>
      <c r="R951">
        <v>351.8</v>
      </c>
      <c r="S951">
        <f>Sheet1__3_1_1_1[[#This Row],[Net_Revenue]]-Sheet1__3_1_1_1[[#This Row],[COGS]]</f>
        <v>215.61999999999995</v>
      </c>
    </row>
    <row r="952" spans="1:19" x14ac:dyDescent="0.25">
      <c r="A952" t="s">
        <v>1047</v>
      </c>
      <c r="B952" s="1">
        <v>45195</v>
      </c>
      <c r="C952" t="s">
        <v>44</v>
      </c>
      <c r="D952" t="s">
        <v>45</v>
      </c>
      <c r="E952" t="s">
        <v>66</v>
      </c>
      <c r="F952" t="s">
        <v>22</v>
      </c>
      <c r="G952" t="s">
        <v>149</v>
      </c>
      <c r="H952" t="s">
        <v>24</v>
      </c>
      <c r="I952" t="s">
        <v>42</v>
      </c>
      <c r="J952" t="s">
        <v>94</v>
      </c>
      <c r="K952" t="s">
        <v>36</v>
      </c>
      <c r="L952">
        <v>27.14</v>
      </c>
      <c r="M952">
        <v>22</v>
      </c>
      <c r="N952" s="2">
        <v>0</v>
      </c>
      <c r="O952">
        <v>597.08000000000004</v>
      </c>
      <c r="P952">
        <v>0</v>
      </c>
      <c r="Q952">
        <f>Sheet1__3_1_1_1[[#This Row],[Gross_Revenue]]-Sheet1__3_1_1_1[[#This Row],[Discount_Amount]]</f>
        <v>597.08000000000004</v>
      </c>
      <c r="R952">
        <v>328.39</v>
      </c>
      <c r="S952">
        <f>Sheet1__3_1_1_1[[#This Row],[Net_Revenue]]-Sheet1__3_1_1_1[[#This Row],[COGS]]</f>
        <v>268.69000000000005</v>
      </c>
    </row>
    <row r="953" spans="1:19" x14ac:dyDescent="0.25">
      <c r="A953" t="s">
        <v>1048</v>
      </c>
      <c r="B953" s="1">
        <v>44724</v>
      </c>
      <c r="C953" t="s">
        <v>29</v>
      </c>
      <c r="D953" t="s">
        <v>30</v>
      </c>
      <c r="E953" t="s">
        <v>66</v>
      </c>
      <c r="F953" t="s">
        <v>22</v>
      </c>
      <c r="G953" t="s">
        <v>113</v>
      </c>
      <c r="H953" t="s">
        <v>57</v>
      </c>
      <c r="I953" t="s">
        <v>48</v>
      </c>
      <c r="J953" t="s">
        <v>89</v>
      </c>
      <c r="K953" t="s">
        <v>36</v>
      </c>
      <c r="L953">
        <v>11.13</v>
      </c>
      <c r="M953">
        <v>27</v>
      </c>
      <c r="N953" s="2">
        <v>0</v>
      </c>
      <c r="O953">
        <v>300.51000000000005</v>
      </c>
      <c r="P953">
        <v>0</v>
      </c>
      <c r="Q953">
        <f>Sheet1__3_1_1_1[[#This Row],[Gross_Revenue]]-Sheet1__3_1_1_1[[#This Row],[Discount_Amount]]</f>
        <v>300.51000000000005</v>
      </c>
      <c r="R953">
        <v>165.28</v>
      </c>
      <c r="S953">
        <f>Sheet1__3_1_1_1[[#This Row],[Net_Revenue]]-Sheet1__3_1_1_1[[#This Row],[COGS]]</f>
        <v>135.23000000000005</v>
      </c>
    </row>
    <row r="954" spans="1:19" x14ac:dyDescent="0.25">
      <c r="A954" t="s">
        <v>1049</v>
      </c>
      <c r="B954" s="1">
        <v>45098</v>
      </c>
      <c r="C954" t="s">
        <v>44</v>
      </c>
      <c r="D954" t="s">
        <v>45</v>
      </c>
      <c r="E954" t="s">
        <v>63</v>
      </c>
      <c r="F954" t="s">
        <v>79</v>
      </c>
      <c r="G954" t="s">
        <v>85</v>
      </c>
      <c r="H954" t="s">
        <v>41</v>
      </c>
      <c r="I954" t="s">
        <v>42</v>
      </c>
      <c r="J954" t="s">
        <v>49</v>
      </c>
      <c r="K954" t="s">
        <v>36</v>
      </c>
      <c r="L954">
        <v>852.35</v>
      </c>
      <c r="M954">
        <v>2</v>
      </c>
      <c r="N954" s="2">
        <v>0</v>
      </c>
      <c r="O954">
        <v>1704.7</v>
      </c>
      <c r="P954">
        <v>0</v>
      </c>
      <c r="Q954">
        <f>Sheet1__3_1_1_1[[#This Row],[Gross_Revenue]]-Sheet1__3_1_1_1[[#This Row],[Discount_Amount]]</f>
        <v>1704.7</v>
      </c>
      <c r="R954">
        <v>1056.9100000000001</v>
      </c>
      <c r="S954">
        <f>Sheet1__3_1_1_1[[#This Row],[Net_Revenue]]-Sheet1__3_1_1_1[[#This Row],[COGS]]</f>
        <v>647.79</v>
      </c>
    </row>
    <row r="955" spans="1:19" x14ac:dyDescent="0.25">
      <c r="A955" t="s">
        <v>1050</v>
      </c>
      <c r="B955" s="1">
        <v>45153</v>
      </c>
      <c r="C955" t="s">
        <v>99</v>
      </c>
      <c r="D955" t="s">
        <v>100</v>
      </c>
      <c r="E955" t="s">
        <v>39</v>
      </c>
      <c r="F955" t="s">
        <v>55</v>
      </c>
      <c r="G955" t="s">
        <v>120</v>
      </c>
      <c r="H955" t="s">
        <v>52</v>
      </c>
      <c r="I955" t="s">
        <v>34</v>
      </c>
      <c r="J955" t="s">
        <v>49</v>
      </c>
      <c r="K955" t="s">
        <v>36</v>
      </c>
      <c r="L955">
        <v>94.22</v>
      </c>
      <c r="M955">
        <v>3</v>
      </c>
      <c r="N955" s="2">
        <v>0.05</v>
      </c>
      <c r="O955">
        <v>282.65999999999997</v>
      </c>
      <c r="P955">
        <v>14.132999999999999</v>
      </c>
      <c r="Q955">
        <f>Sheet1__3_1_1_1[[#This Row],[Gross_Revenue]]-Sheet1__3_1_1_1[[#This Row],[Discount_Amount]]</f>
        <v>268.52699999999999</v>
      </c>
      <c r="R955">
        <v>112.78</v>
      </c>
      <c r="S955">
        <f>Sheet1__3_1_1_1[[#This Row],[Net_Revenue]]-Sheet1__3_1_1_1[[#This Row],[COGS]]</f>
        <v>155.74699999999999</v>
      </c>
    </row>
    <row r="956" spans="1:19" x14ac:dyDescent="0.25">
      <c r="A956" t="s">
        <v>1051</v>
      </c>
      <c r="B956" s="1">
        <v>44908</v>
      </c>
      <c r="C956" t="s">
        <v>99</v>
      </c>
      <c r="D956" t="s">
        <v>100</v>
      </c>
      <c r="E956" t="s">
        <v>39</v>
      </c>
      <c r="F956" t="s">
        <v>55</v>
      </c>
      <c r="G956" t="s">
        <v>103</v>
      </c>
      <c r="H956" t="s">
        <v>52</v>
      </c>
      <c r="I956" t="s">
        <v>60</v>
      </c>
      <c r="J956" t="s">
        <v>35</v>
      </c>
      <c r="K956" t="s">
        <v>36</v>
      </c>
      <c r="L956">
        <v>138.37</v>
      </c>
      <c r="M956">
        <v>4</v>
      </c>
      <c r="N956" s="2">
        <v>0</v>
      </c>
      <c r="O956">
        <v>553.48</v>
      </c>
      <c r="P956">
        <v>0</v>
      </c>
      <c r="Q956">
        <f>Sheet1__3_1_1_1[[#This Row],[Gross_Revenue]]-Sheet1__3_1_1_1[[#This Row],[Discount_Amount]]</f>
        <v>553.48</v>
      </c>
      <c r="R956">
        <v>232.46</v>
      </c>
      <c r="S956">
        <f>Sheet1__3_1_1_1[[#This Row],[Net_Revenue]]-Sheet1__3_1_1_1[[#This Row],[COGS]]</f>
        <v>321.02</v>
      </c>
    </row>
    <row r="957" spans="1:19" x14ac:dyDescent="0.25">
      <c r="A957" t="s">
        <v>1052</v>
      </c>
      <c r="B957" s="1">
        <v>45148</v>
      </c>
      <c r="C957" t="s">
        <v>99</v>
      </c>
      <c r="D957" t="s">
        <v>148</v>
      </c>
      <c r="E957" t="s">
        <v>66</v>
      </c>
      <c r="F957" t="s">
        <v>69</v>
      </c>
      <c r="G957" t="s">
        <v>101</v>
      </c>
      <c r="H957" t="s">
        <v>106</v>
      </c>
      <c r="I957" t="s">
        <v>34</v>
      </c>
      <c r="J957" t="s">
        <v>89</v>
      </c>
      <c r="K957" t="s">
        <v>27</v>
      </c>
      <c r="L957">
        <v>7.18</v>
      </c>
      <c r="M957">
        <v>25</v>
      </c>
      <c r="N957" s="2">
        <v>0.05</v>
      </c>
      <c r="O957">
        <v>179.5</v>
      </c>
      <c r="P957">
        <v>8.9749999999999996</v>
      </c>
      <c r="Q957">
        <f>Sheet1__3_1_1_1[[#This Row],[Gross_Revenue]]-Sheet1__3_1_1_1[[#This Row],[Discount_Amount]]</f>
        <v>170.52500000000001</v>
      </c>
      <c r="R957">
        <v>64.8</v>
      </c>
      <c r="S957">
        <f>Sheet1__3_1_1_1[[#This Row],[Net_Revenue]]-Sheet1__3_1_1_1[[#This Row],[COGS]]</f>
        <v>105.72500000000001</v>
      </c>
    </row>
    <row r="958" spans="1:19" x14ac:dyDescent="0.25">
      <c r="A958" t="s">
        <v>1053</v>
      </c>
      <c r="B958" s="1">
        <v>45183</v>
      </c>
      <c r="C958" t="s">
        <v>19</v>
      </c>
      <c r="D958" t="s">
        <v>91</v>
      </c>
      <c r="E958" t="s">
        <v>63</v>
      </c>
      <c r="F958" t="s">
        <v>69</v>
      </c>
      <c r="G958" t="s">
        <v>70</v>
      </c>
      <c r="H958" t="s">
        <v>106</v>
      </c>
      <c r="I958" t="s">
        <v>34</v>
      </c>
      <c r="J958" t="s">
        <v>26</v>
      </c>
      <c r="K958" t="s">
        <v>36</v>
      </c>
      <c r="L958">
        <v>396.31</v>
      </c>
      <c r="M958">
        <v>27</v>
      </c>
      <c r="N958" s="2">
        <v>0</v>
      </c>
      <c r="O958">
        <v>10700.37</v>
      </c>
      <c r="P958">
        <v>0</v>
      </c>
      <c r="Q958">
        <f>Sheet1__3_1_1_1[[#This Row],[Gross_Revenue]]-Sheet1__3_1_1_1[[#This Row],[Discount_Amount]]</f>
        <v>10700.37</v>
      </c>
      <c r="R958">
        <v>4066.14</v>
      </c>
      <c r="S958">
        <f>Sheet1__3_1_1_1[[#This Row],[Net_Revenue]]-Sheet1__3_1_1_1[[#This Row],[COGS]]</f>
        <v>6634.2300000000014</v>
      </c>
    </row>
    <row r="959" spans="1:19" x14ac:dyDescent="0.25">
      <c r="A959" t="s">
        <v>1054</v>
      </c>
      <c r="B959" s="1">
        <v>45251</v>
      </c>
      <c r="C959" t="s">
        <v>77</v>
      </c>
      <c r="D959" t="s">
        <v>78</v>
      </c>
      <c r="E959" t="s">
        <v>39</v>
      </c>
      <c r="F959" t="s">
        <v>22</v>
      </c>
      <c r="G959" t="s">
        <v>46</v>
      </c>
      <c r="H959" t="s">
        <v>41</v>
      </c>
      <c r="I959" t="s">
        <v>34</v>
      </c>
      <c r="J959" t="s">
        <v>94</v>
      </c>
      <c r="K959" t="s">
        <v>27</v>
      </c>
      <c r="L959">
        <v>21.34</v>
      </c>
      <c r="M959">
        <v>20</v>
      </c>
      <c r="N959" s="2">
        <v>0</v>
      </c>
      <c r="O959">
        <v>426.8</v>
      </c>
      <c r="P959">
        <v>0</v>
      </c>
      <c r="Q959">
        <f>Sheet1__3_1_1_1[[#This Row],[Gross_Revenue]]-Sheet1__3_1_1_1[[#This Row],[Discount_Amount]]</f>
        <v>426.8</v>
      </c>
      <c r="R959">
        <v>234.74</v>
      </c>
      <c r="S959">
        <f>Sheet1__3_1_1_1[[#This Row],[Net_Revenue]]-Sheet1__3_1_1_1[[#This Row],[COGS]]</f>
        <v>192.06</v>
      </c>
    </row>
    <row r="960" spans="1:19" x14ac:dyDescent="0.25">
      <c r="A960" t="s">
        <v>1055</v>
      </c>
      <c r="B960" s="1">
        <v>44613</v>
      </c>
      <c r="C960" t="s">
        <v>77</v>
      </c>
      <c r="D960" t="s">
        <v>78</v>
      </c>
      <c r="E960" t="s">
        <v>21</v>
      </c>
      <c r="F960" t="s">
        <v>22</v>
      </c>
      <c r="G960" t="s">
        <v>75</v>
      </c>
      <c r="H960" t="s">
        <v>47</v>
      </c>
      <c r="I960" t="s">
        <v>34</v>
      </c>
      <c r="J960" t="s">
        <v>35</v>
      </c>
      <c r="K960" t="s">
        <v>53</v>
      </c>
      <c r="L960">
        <v>11.65</v>
      </c>
      <c r="M960">
        <v>5</v>
      </c>
      <c r="N960" s="2">
        <v>0</v>
      </c>
      <c r="O960">
        <v>58.25</v>
      </c>
      <c r="P960">
        <v>0</v>
      </c>
      <c r="Q960">
        <f>Sheet1__3_1_1_1[[#This Row],[Gross_Revenue]]-Sheet1__3_1_1_1[[#This Row],[Discount_Amount]]</f>
        <v>58.25</v>
      </c>
      <c r="R960">
        <v>32.04</v>
      </c>
      <c r="S960">
        <f>Sheet1__3_1_1_1[[#This Row],[Net_Revenue]]-Sheet1__3_1_1_1[[#This Row],[COGS]]</f>
        <v>26.21</v>
      </c>
    </row>
    <row r="961" spans="1:19" x14ac:dyDescent="0.25">
      <c r="A961" t="s">
        <v>1056</v>
      </c>
      <c r="B961" s="1">
        <v>45094</v>
      </c>
      <c r="C961" t="s">
        <v>44</v>
      </c>
      <c r="D961" t="s">
        <v>51</v>
      </c>
      <c r="E961" t="s">
        <v>66</v>
      </c>
      <c r="F961" t="s">
        <v>22</v>
      </c>
      <c r="G961" t="s">
        <v>75</v>
      </c>
      <c r="H961" t="s">
        <v>33</v>
      </c>
      <c r="I961" t="s">
        <v>42</v>
      </c>
      <c r="J961" t="s">
        <v>94</v>
      </c>
      <c r="K961" t="s">
        <v>36</v>
      </c>
      <c r="L961">
        <v>12.31</v>
      </c>
      <c r="M961">
        <v>14</v>
      </c>
      <c r="N961" s="2">
        <v>0</v>
      </c>
      <c r="O961">
        <v>172.34</v>
      </c>
      <c r="P961">
        <v>0</v>
      </c>
      <c r="Q961">
        <f>Sheet1__3_1_1_1[[#This Row],[Gross_Revenue]]-Sheet1__3_1_1_1[[#This Row],[Discount_Amount]]</f>
        <v>172.34</v>
      </c>
      <c r="R961">
        <v>94.79</v>
      </c>
      <c r="S961">
        <f>Sheet1__3_1_1_1[[#This Row],[Net_Revenue]]-Sheet1__3_1_1_1[[#This Row],[COGS]]</f>
        <v>77.55</v>
      </c>
    </row>
    <row r="962" spans="1:19" x14ac:dyDescent="0.25">
      <c r="A962" t="s">
        <v>1057</v>
      </c>
      <c r="B962" s="1">
        <v>45288</v>
      </c>
      <c r="C962" t="s">
        <v>44</v>
      </c>
      <c r="D962" t="s">
        <v>45</v>
      </c>
      <c r="E962" t="s">
        <v>63</v>
      </c>
      <c r="F962" t="s">
        <v>55</v>
      </c>
      <c r="G962" t="s">
        <v>103</v>
      </c>
      <c r="H962" t="s">
        <v>24</v>
      </c>
      <c r="I962" t="s">
        <v>60</v>
      </c>
      <c r="J962" t="s">
        <v>49</v>
      </c>
      <c r="K962" t="s">
        <v>36</v>
      </c>
      <c r="L962">
        <v>149.04</v>
      </c>
      <c r="M962">
        <v>5</v>
      </c>
      <c r="N962" s="2">
        <v>0</v>
      </c>
      <c r="O962">
        <v>745.19999999999993</v>
      </c>
      <c r="P962">
        <v>0</v>
      </c>
      <c r="Q962">
        <f>Sheet1__3_1_1_1[[#This Row],[Gross_Revenue]]-Sheet1__3_1_1_1[[#This Row],[Discount_Amount]]</f>
        <v>745.19999999999993</v>
      </c>
      <c r="R962">
        <v>312.98</v>
      </c>
      <c r="S962">
        <f>Sheet1__3_1_1_1[[#This Row],[Net_Revenue]]-Sheet1__3_1_1_1[[#This Row],[COGS]]</f>
        <v>432.21999999999991</v>
      </c>
    </row>
    <row r="963" spans="1:19" x14ac:dyDescent="0.25">
      <c r="A963" t="s">
        <v>1058</v>
      </c>
      <c r="B963" s="1">
        <v>45208</v>
      </c>
      <c r="C963" t="s">
        <v>29</v>
      </c>
      <c r="D963" t="s">
        <v>38</v>
      </c>
      <c r="E963" t="s">
        <v>66</v>
      </c>
      <c r="F963" t="s">
        <v>69</v>
      </c>
      <c r="G963" t="s">
        <v>101</v>
      </c>
      <c r="H963" t="s">
        <v>87</v>
      </c>
      <c r="I963" t="s">
        <v>25</v>
      </c>
      <c r="J963" t="s">
        <v>94</v>
      </c>
      <c r="K963" t="s">
        <v>36</v>
      </c>
      <c r="L963">
        <v>7.43</v>
      </c>
      <c r="M963">
        <v>16</v>
      </c>
      <c r="N963" s="2">
        <v>0.05</v>
      </c>
      <c r="O963">
        <v>118.88</v>
      </c>
      <c r="P963">
        <v>5.944</v>
      </c>
      <c r="Q963">
        <f>Sheet1__3_1_1_1[[#This Row],[Gross_Revenue]]-Sheet1__3_1_1_1[[#This Row],[Discount_Amount]]</f>
        <v>112.93599999999999</v>
      </c>
      <c r="R963">
        <v>42.92</v>
      </c>
      <c r="S963">
        <f>Sheet1__3_1_1_1[[#This Row],[Net_Revenue]]-Sheet1__3_1_1_1[[#This Row],[COGS]]</f>
        <v>70.015999999999991</v>
      </c>
    </row>
    <row r="964" spans="1:19" x14ac:dyDescent="0.25">
      <c r="A964" t="s">
        <v>1059</v>
      </c>
      <c r="B964" s="1">
        <v>45127</v>
      </c>
      <c r="C964" t="s">
        <v>29</v>
      </c>
      <c r="D964" t="s">
        <v>30</v>
      </c>
      <c r="E964" t="s">
        <v>66</v>
      </c>
      <c r="F964" t="s">
        <v>22</v>
      </c>
      <c r="G964" t="s">
        <v>75</v>
      </c>
      <c r="H964" t="s">
        <v>24</v>
      </c>
      <c r="I964" t="s">
        <v>42</v>
      </c>
      <c r="J964" t="s">
        <v>26</v>
      </c>
      <c r="K964" t="s">
        <v>36</v>
      </c>
      <c r="L964">
        <v>11.81</v>
      </c>
      <c r="M964">
        <v>2</v>
      </c>
      <c r="N964" s="2">
        <v>0.05</v>
      </c>
      <c r="O964">
        <v>23.62</v>
      </c>
      <c r="P964">
        <v>1.181</v>
      </c>
      <c r="Q964">
        <f>Sheet1__3_1_1_1[[#This Row],[Gross_Revenue]]-Sheet1__3_1_1_1[[#This Row],[Discount_Amount]]</f>
        <v>22.439</v>
      </c>
      <c r="R964">
        <v>12.34</v>
      </c>
      <c r="S964">
        <f>Sheet1__3_1_1_1[[#This Row],[Net_Revenue]]-Sheet1__3_1_1_1[[#This Row],[COGS]]</f>
        <v>10.099</v>
      </c>
    </row>
    <row r="965" spans="1:19" x14ac:dyDescent="0.25">
      <c r="A965" t="s">
        <v>1060</v>
      </c>
      <c r="B965" s="1">
        <v>44811</v>
      </c>
      <c r="C965" t="s">
        <v>44</v>
      </c>
      <c r="D965" t="s">
        <v>65</v>
      </c>
      <c r="E965" t="s">
        <v>63</v>
      </c>
      <c r="F965" t="s">
        <v>31</v>
      </c>
      <c r="G965" t="s">
        <v>40</v>
      </c>
      <c r="H965" t="s">
        <v>52</v>
      </c>
      <c r="I965" t="s">
        <v>48</v>
      </c>
      <c r="J965" t="s">
        <v>94</v>
      </c>
      <c r="K965" t="s">
        <v>36</v>
      </c>
      <c r="L965" t="s">
        <v>1147</v>
      </c>
      <c r="M965">
        <v>2</v>
      </c>
      <c r="N965" s="2">
        <v>0</v>
      </c>
      <c r="O965">
        <v>0</v>
      </c>
      <c r="P965">
        <v>0</v>
      </c>
      <c r="Q965">
        <f>Sheet1__3_1_1_1[[#This Row],[Gross_Revenue]]-Sheet1__3_1_1_1[[#This Row],[Discount_Amount]]</f>
        <v>0</v>
      </c>
      <c r="R965" t="s">
        <v>1147</v>
      </c>
      <c r="S965" t="e">
        <f>Sheet1__3_1_1_1[[#This Row],[Net_Revenue]]-Sheet1__3_1_1_1[[#This Row],[COGS]]</f>
        <v>#VALUE!</v>
      </c>
    </row>
    <row r="966" spans="1:19" x14ac:dyDescent="0.25">
      <c r="A966" t="s">
        <v>1061</v>
      </c>
      <c r="B966" s="1">
        <v>44692</v>
      </c>
      <c r="C966" t="s">
        <v>99</v>
      </c>
      <c r="D966" t="s">
        <v>148</v>
      </c>
      <c r="E966" t="s">
        <v>63</v>
      </c>
      <c r="F966" t="s">
        <v>55</v>
      </c>
      <c r="G966" t="s">
        <v>67</v>
      </c>
      <c r="H966" t="s">
        <v>33</v>
      </c>
      <c r="I966" t="s">
        <v>48</v>
      </c>
      <c r="J966" t="s">
        <v>26</v>
      </c>
      <c r="K966" t="s">
        <v>53</v>
      </c>
      <c r="L966">
        <v>68.010000000000005</v>
      </c>
      <c r="M966">
        <v>4</v>
      </c>
      <c r="N966" s="2">
        <v>0.05</v>
      </c>
      <c r="O966">
        <v>272.04000000000002</v>
      </c>
      <c r="P966">
        <v>13.602000000000002</v>
      </c>
      <c r="Q966">
        <f>Sheet1__3_1_1_1[[#This Row],[Gross_Revenue]]-Sheet1__3_1_1_1[[#This Row],[Discount_Amount]]</f>
        <v>258.43800000000005</v>
      </c>
      <c r="R966">
        <v>108.54</v>
      </c>
      <c r="S966">
        <f>Sheet1__3_1_1_1[[#This Row],[Net_Revenue]]-Sheet1__3_1_1_1[[#This Row],[COGS]]</f>
        <v>149.89800000000002</v>
      </c>
    </row>
    <row r="967" spans="1:19" x14ac:dyDescent="0.25">
      <c r="A967" t="s">
        <v>1062</v>
      </c>
      <c r="B967" s="1">
        <v>44726</v>
      </c>
      <c r="C967" t="s">
        <v>19</v>
      </c>
      <c r="D967" t="s">
        <v>91</v>
      </c>
      <c r="E967" t="s">
        <v>39</v>
      </c>
      <c r="F967" t="s">
        <v>22</v>
      </c>
      <c r="G967" t="s">
        <v>75</v>
      </c>
      <c r="H967" t="s">
        <v>106</v>
      </c>
      <c r="I967" t="s">
        <v>25</v>
      </c>
      <c r="J967" t="s">
        <v>49</v>
      </c>
      <c r="K967" t="s">
        <v>53</v>
      </c>
      <c r="L967">
        <v>10.19</v>
      </c>
      <c r="M967">
        <v>2</v>
      </c>
      <c r="N967" s="2">
        <v>0</v>
      </c>
      <c r="O967">
        <v>20.38</v>
      </c>
      <c r="P967">
        <v>0</v>
      </c>
      <c r="Q967">
        <f>Sheet1__3_1_1_1[[#This Row],[Gross_Revenue]]-Sheet1__3_1_1_1[[#This Row],[Discount_Amount]]</f>
        <v>20.38</v>
      </c>
      <c r="R967">
        <v>11.21</v>
      </c>
      <c r="S967">
        <f>Sheet1__3_1_1_1[[#This Row],[Net_Revenue]]-Sheet1__3_1_1_1[[#This Row],[COGS]]</f>
        <v>9.1699999999999982</v>
      </c>
    </row>
    <row r="968" spans="1:19" x14ac:dyDescent="0.25">
      <c r="A968" t="s">
        <v>1063</v>
      </c>
      <c r="B968" s="1">
        <v>45195</v>
      </c>
      <c r="C968" t="s">
        <v>77</v>
      </c>
      <c r="D968" t="s">
        <v>82</v>
      </c>
      <c r="E968" t="s">
        <v>66</v>
      </c>
      <c r="F968" t="s">
        <v>22</v>
      </c>
      <c r="G968" t="s">
        <v>75</v>
      </c>
      <c r="H968" t="s">
        <v>52</v>
      </c>
      <c r="I968" t="s">
        <v>25</v>
      </c>
      <c r="J968" t="s">
        <v>26</v>
      </c>
      <c r="K968" t="s">
        <v>143</v>
      </c>
      <c r="L968">
        <v>12.4</v>
      </c>
      <c r="M968">
        <v>22</v>
      </c>
      <c r="N968" s="2">
        <v>0</v>
      </c>
      <c r="O968">
        <v>272.8</v>
      </c>
      <c r="P968">
        <v>0</v>
      </c>
      <c r="Q968">
        <f>Sheet1__3_1_1_1[[#This Row],[Gross_Revenue]]-Sheet1__3_1_1_1[[#This Row],[Discount_Amount]]</f>
        <v>272.8</v>
      </c>
      <c r="R968">
        <v>150.04</v>
      </c>
      <c r="S968">
        <f>Sheet1__3_1_1_1[[#This Row],[Net_Revenue]]-Sheet1__3_1_1_1[[#This Row],[COGS]]</f>
        <v>122.76000000000002</v>
      </c>
    </row>
    <row r="969" spans="1:19" x14ac:dyDescent="0.25">
      <c r="A969" t="s">
        <v>1064</v>
      </c>
      <c r="B969" s="1">
        <v>44597</v>
      </c>
      <c r="C969" t="s">
        <v>77</v>
      </c>
      <c r="D969" t="s">
        <v>110</v>
      </c>
      <c r="E969" t="s">
        <v>63</v>
      </c>
      <c r="F969" t="s">
        <v>79</v>
      </c>
      <c r="G969" t="s">
        <v>80</v>
      </c>
      <c r="H969" t="s">
        <v>57</v>
      </c>
      <c r="I969" t="s">
        <v>34</v>
      </c>
      <c r="J969" t="s">
        <v>35</v>
      </c>
      <c r="K969" t="s">
        <v>143</v>
      </c>
      <c r="L969">
        <v>710.49</v>
      </c>
      <c r="N969" s="2">
        <v>0</v>
      </c>
      <c r="O969">
        <v>0</v>
      </c>
      <c r="P969">
        <v>0</v>
      </c>
      <c r="Q969">
        <f>Sheet1__3_1_1_1[[#This Row],[Gross_Revenue]]-Sheet1__3_1_1_1[[#This Row],[Discount_Amount]]</f>
        <v>0</v>
      </c>
      <c r="R969" t="s">
        <v>1147</v>
      </c>
      <c r="S969" t="e">
        <f>Sheet1__3_1_1_1[[#This Row],[Net_Revenue]]-Sheet1__3_1_1_1[[#This Row],[COGS]]</f>
        <v>#VALUE!</v>
      </c>
    </row>
    <row r="970" spans="1:19" x14ac:dyDescent="0.25">
      <c r="A970" t="s">
        <v>1065</v>
      </c>
      <c r="B970" s="1">
        <v>45011</v>
      </c>
      <c r="C970" t="s">
        <v>44</v>
      </c>
      <c r="D970" t="s">
        <v>51</v>
      </c>
      <c r="E970" t="s">
        <v>39</v>
      </c>
      <c r="F970" t="s">
        <v>22</v>
      </c>
      <c r="G970" t="s">
        <v>23</v>
      </c>
      <c r="H970" t="s">
        <v>41</v>
      </c>
      <c r="I970" t="s">
        <v>42</v>
      </c>
      <c r="J970" t="s">
        <v>26</v>
      </c>
      <c r="K970" t="s">
        <v>53</v>
      </c>
      <c r="L970">
        <v>17.399999999999999</v>
      </c>
      <c r="M970">
        <v>22</v>
      </c>
      <c r="N970" s="2">
        <v>0.1</v>
      </c>
      <c r="O970">
        <v>382.79999999999995</v>
      </c>
      <c r="P970">
        <v>38.279999999999994</v>
      </c>
      <c r="Q970">
        <f>Sheet1__3_1_1_1[[#This Row],[Gross_Revenue]]-Sheet1__3_1_1_1[[#This Row],[Discount_Amount]]</f>
        <v>344.52</v>
      </c>
      <c r="R970">
        <v>189.49</v>
      </c>
      <c r="S970">
        <f>Sheet1__3_1_1_1[[#This Row],[Net_Revenue]]-Sheet1__3_1_1_1[[#This Row],[COGS]]</f>
        <v>155.02999999999997</v>
      </c>
    </row>
    <row r="971" spans="1:19" x14ac:dyDescent="0.25">
      <c r="A971" t="s">
        <v>1066</v>
      </c>
      <c r="B971" s="1">
        <v>44744</v>
      </c>
      <c r="C971" t="s">
        <v>77</v>
      </c>
      <c r="D971" t="s">
        <v>110</v>
      </c>
      <c r="E971" t="s">
        <v>21</v>
      </c>
      <c r="F971" t="s">
        <v>69</v>
      </c>
      <c r="G971" t="s">
        <v>73</v>
      </c>
      <c r="H971" t="s">
        <v>57</v>
      </c>
      <c r="I971" t="s">
        <v>25</v>
      </c>
      <c r="J971" t="s">
        <v>35</v>
      </c>
      <c r="K971" t="s">
        <v>143</v>
      </c>
      <c r="L971">
        <v>13.2</v>
      </c>
      <c r="M971">
        <v>10</v>
      </c>
      <c r="N971" s="2">
        <v>0</v>
      </c>
      <c r="O971">
        <v>132</v>
      </c>
      <c r="P971">
        <v>0</v>
      </c>
      <c r="Q971">
        <f>Sheet1__3_1_1_1[[#This Row],[Gross_Revenue]]-Sheet1__3_1_1_1[[#This Row],[Discount_Amount]]</f>
        <v>132</v>
      </c>
      <c r="R971">
        <v>50.16</v>
      </c>
      <c r="S971">
        <f>Sheet1__3_1_1_1[[#This Row],[Net_Revenue]]-Sheet1__3_1_1_1[[#This Row],[COGS]]</f>
        <v>81.84</v>
      </c>
    </row>
    <row r="972" spans="1:19" x14ac:dyDescent="0.25">
      <c r="A972" t="s">
        <v>1067</v>
      </c>
      <c r="B972" s="1">
        <v>45062</v>
      </c>
      <c r="C972" t="s">
        <v>19</v>
      </c>
      <c r="D972" t="s">
        <v>20</v>
      </c>
      <c r="E972" t="s">
        <v>21</v>
      </c>
      <c r="F972" t="s">
        <v>31</v>
      </c>
      <c r="G972" t="s">
        <v>32</v>
      </c>
      <c r="H972" t="s">
        <v>33</v>
      </c>
      <c r="I972" t="s">
        <v>60</v>
      </c>
      <c r="J972" t="s">
        <v>49</v>
      </c>
      <c r="K972" t="s">
        <v>143</v>
      </c>
      <c r="L972">
        <v>385.28</v>
      </c>
      <c r="M972">
        <v>8</v>
      </c>
      <c r="N972" s="2">
        <v>0</v>
      </c>
      <c r="O972">
        <v>3082.24</v>
      </c>
      <c r="P972">
        <v>0</v>
      </c>
      <c r="Q972">
        <f>Sheet1__3_1_1_1[[#This Row],[Gross_Revenue]]-Sheet1__3_1_1_1[[#This Row],[Discount_Amount]]</f>
        <v>3082.24</v>
      </c>
      <c r="R972">
        <v>1479.48</v>
      </c>
      <c r="S972">
        <f>Sheet1__3_1_1_1[[#This Row],[Net_Revenue]]-Sheet1__3_1_1_1[[#This Row],[COGS]]</f>
        <v>1602.7599999999998</v>
      </c>
    </row>
    <row r="973" spans="1:19" x14ac:dyDescent="0.25">
      <c r="A973" t="s">
        <v>1068</v>
      </c>
      <c r="B973" s="1">
        <v>44644</v>
      </c>
      <c r="C973" t="s">
        <v>44</v>
      </c>
      <c r="D973" t="s">
        <v>45</v>
      </c>
      <c r="E973" t="s">
        <v>39</v>
      </c>
      <c r="F973" t="s">
        <v>79</v>
      </c>
      <c r="G973" t="s">
        <v>172</v>
      </c>
      <c r="H973" t="s">
        <v>52</v>
      </c>
      <c r="I973" t="s">
        <v>42</v>
      </c>
      <c r="J973" t="s">
        <v>49</v>
      </c>
      <c r="K973" t="s">
        <v>36</v>
      </c>
      <c r="L973">
        <v>348.68</v>
      </c>
      <c r="M973">
        <v>1</v>
      </c>
      <c r="N973" s="2">
        <v>0</v>
      </c>
      <c r="O973">
        <v>348.68</v>
      </c>
      <c r="P973">
        <v>0</v>
      </c>
      <c r="Q973">
        <f>Sheet1__3_1_1_1[[#This Row],[Gross_Revenue]]-Sheet1__3_1_1_1[[#This Row],[Discount_Amount]]</f>
        <v>348.68</v>
      </c>
      <c r="R973">
        <v>216.18</v>
      </c>
      <c r="S973">
        <f>Sheet1__3_1_1_1[[#This Row],[Net_Revenue]]-Sheet1__3_1_1_1[[#This Row],[COGS]]</f>
        <v>132.5</v>
      </c>
    </row>
    <row r="974" spans="1:19" x14ac:dyDescent="0.25">
      <c r="A974" t="s">
        <v>1069</v>
      </c>
      <c r="B974" s="1">
        <v>44615</v>
      </c>
      <c r="C974" t="s">
        <v>44</v>
      </c>
      <c r="D974" t="s">
        <v>65</v>
      </c>
      <c r="E974" t="s">
        <v>66</v>
      </c>
      <c r="F974" t="s">
        <v>31</v>
      </c>
      <c r="G974" t="s">
        <v>40</v>
      </c>
      <c r="H974" t="s">
        <v>108</v>
      </c>
      <c r="I974" t="s">
        <v>48</v>
      </c>
      <c r="J974" t="s">
        <v>49</v>
      </c>
      <c r="K974" t="s">
        <v>36</v>
      </c>
      <c r="L974">
        <v>250.48</v>
      </c>
      <c r="M974">
        <v>6</v>
      </c>
      <c r="N974" s="2">
        <v>0.05</v>
      </c>
      <c r="O974">
        <v>1502.8799999999999</v>
      </c>
      <c r="P974">
        <v>75.143999999999991</v>
      </c>
      <c r="Q974">
        <f>Sheet1__3_1_1_1[[#This Row],[Gross_Revenue]]-Sheet1__3_1_1_1[[#This Row],[Discount_Amount]]</f>
        <v>1427.7359999999999</v>
      </c>
      <c r="R974">
        <v>685.32</v>
      </c>
      <c r="S974">
        <f>Sheet1__3_1_1_1[[#This Row],[Net_Revenue]]-Sheet1__3_1_1_1[[#This Row],[COGS]]</f>
        <v>742.41599999999983</v>
      </c>
    </row>
    <row r="975" spans="1:19" x14ac:dyDescent="0.25">
      <c r="A975" t="s">
        <v>1070</v>
      </c>
      <c r="B975" s="1">
        <v>44562</v>
      </c>
      <c r="C975" t="s">
        <v>99</v>
      </c>
      <c r="D975" t="s">
        <v>100</v>
      </c>
      <c r="E975" t="s">
        <v>39</v>
      </c>
      <c r="F975" t="s">
        <v>31</v>
      </c>
      <c r="G975" t="s">
        <v>166</v>
      </c>
      <c r="H975" t="s">
        <v>47</v>
      </c>
      <c r="I975" t="s">
        <v>42</v>
      </c>
      <c r="J975" t="s">
        <v>94</v>
      </c>
      <c r="K975" t="s">
        <v>27</v>
      </c>
      <c r="L975">
        <v>269.2</v>
      </c>
      <c r="M975">
        <v>6</v>
      </c>
      <c r="N975" s="2">
        <v>0</v>
      </c>
      <c r="O975">
        <v>1615.1999999999998</v>
      </c>
      <c r="P975">
        <v>0</v>
      </c>
      <c r="Q975">
        <f>Sheet1__3_1_1_1[[#This Row],[Gross_Revenue]]-Sheet1__3_1_1_1[[#This Row],[Discount_Amount]]</f>
        <v>1615.1999999999998</v>
      </c>
      <c r="R975">
        <v>775.3</v>
      </c>
      <c r="S975">
        <f>Sheet1__3_1_1_1[[#This Row],[Net_Revenue]]-Sheet1__3_1_1_1[[#This Row],[COGS]]</f>
        <v>839.89999999999986</v>
      </c>
    </row>
    <row r="976" spans="1:19" x14ac:dyDescent="0.25">
      <c r="A976" t="s">
        <v>1071</v>
      </c>
      <c r="B976" s="1">
        <v>44701</v>
      </c>
      <c r="C976" t="s">
        <v>99</v>
      </c>
      <c r="D976" t="s">
        <v>100</v>
      </c>
      <c r="E976" t="s">
        <v>21</v>
      </c>
      <c r="F976" t="s">
        <v>55</v>
      </c>
      <c r="G976" t="s">
        <v>103</v>
      </c>
      <c r="H976" t="s">
        <v>52</v>
      </c>
      <c r="I976" t="s">
        <v>42</v>
      </c>
      <c r="J976" t="s">
        <v>35</v>
      </c>
      <c r="K976" t="s">
        <v>143</v>
      </c>
      <c r="L976">
        <v>150.29</v>
      </c>
      <c r="M976">
        <v>3</v>
      </c>
      <c r="N976" s="2">
        <v>0.05</v>
      </c>
      <c r="O976">
        <v>450.87</v>
      </c>
      <c r="P976">
        <v>22.543500000000002</v>
      </c>
      <c r="Q976">
        <f>Sheet1__3_1_1_1[[#This Row],[Gross_Revenue]]-Sheet1__3_1_1_1[[#This Row],[Discount_Amount]]</f>
        <v>428.32650000000001</v>
      </c>
      <c r="R976">
        <v>179.9</v>
      </c>
      <c r="S976">
        <f>Sheet1__3_1_1_1[[#This Row],[Net_Revenue]]-Sheet1__3_1_1_1[[#This Row],[COGS]]</f>
        <v>248.4265</v>
      </c>
    </row>
    <row r="977" spans="1:19" x14ac:dyDescent="0.25">
      <c r="A977" t="s">
        <v>1072</v>
      </c>
      <c r="B977" s="1">
        <v>45037</v>
      </c>
      <c r="C977" t="s">
        <v>77</v>
      </c>
      <c r="D977" t="s">
        <v>82</v>
      </c>
      <c r="E977" t="s">
        <v>39</v>
      </c>
      <c r="F977" t="s">
        <v>31</v>
      </c>
      <c r="G977" t="s">
        <v>166</v>
      </c>
      <c r="H977" t="s">
        <v>106</v>
      </c>
      <c r="I977" t="s">
        <v>34</v>
      </c>
      <c r="J977" t="s">
        <v>35</v>
      </c>
      <c r="K977" t="s">
        <v>36</v>
      </c>
      <c r="L977">
        <v>361.31</v>
      </c>
      <c r="M977">
        <v>3</v>
      </c>
      <c r="N977" s="2">
        <v>0.05</v>
      </c>
      <c r="O977">
        <v>1083.93</v>
      </c>
      <c r="P977">
        <v>54.196500000000007</v>
      </c>
      <c r="Q977">
        <f>Sheet1__3_1_1_1[[#This Row],[Gross_Revenue]]-Sheet1__3_1_1_1[[#This Row],[Discount_Amount]]</f>
        <v>1029.7335</v>
      </c>
      <c r="R977">
        <v>494.27</v>
      </c>
      <c r="S977">
        <f>Sheet1__3_1_1_1[[#This Row],[Net_Revenue]]-Sheet1__3_1_1_1[[#This Row],[COGS]]</f>
        <v>535.46350000000007</v>
      </c>
    </row>
    <row r="978" spans="1:19" x14ac:dyDescent="0.25">
      <c r="A978" t="s">
        <v>1073</v>
      </c>
      <c r="B978" s="1">
        <v>44938</v>
      </c>
      <c r="C978" t="s">
        <v>77</v>
      </c>
      <c r="D978" t="s">
        <v>78</v>
      </c>
      <c r="E978" t="s">
        <v>21</v>
      </c>
      <c r="F978" t="s">
        <v>69</v>
      </c>
      <c r="G978" t="s">
        <v>70</v>
      </c>
      <c r="H978" t="s">
        <v>111</v>
      </c>
      <c r="I978" t="s">
        <v>60</v>
      </c>
      <c r="J978" t="s">
        <v>94</v>
      </c>
      <c r="K978" t="s">
        <v>36</v>
      </c>
      <c r="L978">
        <v>354.61</v>
      </c>
      <c r="M978">
        <v>12</v>
      </c>
      <c r="N978" s="2">
        <v>0</v>
      </c>
      <c r="O978">
        <v>4255.32</v>
      </c>
      <c r="P978">
        <v>0</v>
      </c>
      <c r="Q978">
        <f>Sheet1__3_1_1_1[[#This Row],[Gross_Revenue]]-Sheet1__3_1_1_1[[#This Row],[Discount_Amount]]</f>
        <v>4255.32</v>
      </c>
      <c r="R978">
        <v>1617.02</v>
      </c>
      <c r="S978">
        <f>Sheet1__3_1_1_1[[#This Row],[Net_Revenue]]-Sheet1__3_1_1_1[[#This Row],[COGS]]</f>
        <v>2638.2999999999997</v>
      </c>
    </row>
    <row r="979" spans="1:19" x14ac:dyDescent="0.25">
      <c r="A979" t="s">
        <v>1074</v>
      </c>
      <c r="B979" s="1">
        <v>44633</v>
      </c>
      <c r="C979" t="s">
        <v>19</v>
      </c>
      <c r="D979" t="s">
        <v>130</v>
      </c>
      <c r="E979" t="s">
        <v>21</v>
      </c>
      <c r="F979" t="s">
        <v>69</v>
      </c>
      <c r="G979" t="s">
        <v>73</v>
      </c>
      <c r="H979" t="s">
        <v>71</v>
      </c>
      <c r="I979" t="s">
        <v>34</v>
      </c>
      <c r="J979" t="s">
        <v>26</v>
      </c>
      <c r="K979" t="s">
        <v>143</v>
      </c>
      <c r="L979">
        <v>14.22</v>
      </c>
      <c r="M979">
        <v>19</v>
      </c>
      <c r="N979" s="2">
        <v>0.15</v>
      </c>
      <c r="O979">
        <v>270.18</v>
      </c>
      <c r="P979">
        <v>40.527000000000001</v>
      </c>
      <c r="Q979">
        <f>Sheet1__3_1_1_1[[#This Row],[Gross_Revenue]]-Sheet1__3_1_1_1[[#This Row],[Discount_Amount]]</f>
        <v>229.65300000000002</v>
      </c>
      <c r="R979">
        <v>87.27</v>
      </c>
      <c r="S979">
        <f>Sheet1__3_1_1_1[[#This Row],[Net_Revenue]]-Sheet1__3_1_1_1[[#This Row],[COGS]]</f>
        <v>142.38300000000004</v>
      </c>
    </row>
    <row r="980" spans="1:19" x14ac:dyDescent="0.25">
      <c r="A980" t="s">
        <v>1075</v>
      </c>
      <c r="B980" s="1">
        <v>45068</v>
      </c>
      <c r="C980" t="s">
        <v>29</v>
      </c>
      <c r="D980" t="s">
        <v>62</v>
      </c>
      <c r="E980" t="s">
        <v>21</v>
      </c>
      <c r="F980" t="s">
        <v>22</v>
      </c>
      <c r="G980" t="s">
        <v>113</v>
      </c>
      <c r="H980" t="s">
        <v>57</v>
      </c>
      <c r="I980" t="s">
        <v>42</v>
      </c>
      <c r="J980" t="s">
        <v>26</v>
      </c>
      <c r="K980" t="s">
        <v>36</v>
      </c>
      <c r="L980">
        <v>14.91</v>
      </c>
      <c r="M980">
        <v>29</v>
      </c>
      <c r="N980" s="2">
        <v>0</v>
      </c>
      <c r="O980">
        <v>432.39</v>
      </c>
      <c r="P980">
        <v>0</v>
      </c>
      <c r="Q980">
        <f>Sheet1__3_1_1_1[[#This Row],[Gross_Revenue]]-Sheet1__3_1_1_1[[#This Row],[Discount_Amount]]</f>
        <v>432.39</v>
      </c>
      <c r="R980">
        <v>237.81</v>
      </c>
      <c r="S980">
        <f>Sheet1__3_1_1_1[[#This Row],[Net_Revenue]]-Sheet1__3_1_1_1[[#This Row],[COGS]]</f>
        <v>194.57999999999998</v>
      </c>
    </row>
    <row r="981" spans="1:19" x14ac:dyDescent="0.25">
      <c r="A981" t="s">
        <v>1076</v>
      </c>
      <c r="B981" s="1">
        <v>44964</v>
      </c>
      <c r="C981" t="s">
        <v>19</v>
      </c>
      <c r="D981" t="s">
        <v>130</v>
      </c>
      <c r="E981" t="s">
        <v>63</v>
      </c>
      <c r="F981" t="s">
        <v>55</v>
      </c>
      <c r="G981" t="s">
        <v>120</v>
      </c>
      <c r="H981" t="s">
        <v>59</v>
      </c>
      <c r="I981" t="s">
        <v>34</v>
      </c>
      <c r="J981" t="s">
        <v>35</v>
      </c>
      <c r="K981" t="s">
        <v>36</v>
      </c>
      <c r="L981">
        <v>100.34</v>
      </c>
      <c r="M981">
        <v>3</v>
      </c>
      <c r="N981" s="2">
        <v>0.05</v>
      </c>
      <c r="O981">
        <v>301.02</v>
      </c>
      <c r="P981">
        <v>15.051</v>
      </c>
      <c r="Q981">
        <f>Sheet1__3_1_1_1[[#This Row],[Gross_Revenue]]-Sheet1__3_1_1_1[[#This Row],[Discount_Amount]]</f>
        <v>285.96899999999999</v>
      </c>
      <c r="R981">
        <v>120.11</v>
      </c>
      <c r="S981">
        <f>Sheet1__3_1_1_1[[#This Row],[Net_Revenue]]-Sheet1__3_1_1_1[[#This Row],[COGS]]</f>
        <v>165.85899999999998</v>
      </c>
    </row>
    <row r="982" spans="1:19" x14ac:dyDescent="0.25">
      <c r="A982" t="s">
        <v>1077</v>
      </c>
      <c r="B982" s="1">
        <v>45192</v>
      </c>
      <c r="C982" t="s">
        <v>44</v>
      </c>
      <c r="D982" t="s">
        <v>65</v>
      </c>
      <c r="E982" t="s">
        <v>21</v>
      </c>
      <c r="F982" t="s">
        <v>69</v>
      </c>
      <c r="G982" t="s">
        <v>101</v>
      </c>
      <c r="H982" t="s">
        <v>47</v>
      </c>
      <c r="I982" t="s">
        <v>42</v>
      </c>
      <c r="J982" t="s">
        <v>94</v>
      </c>
      <c r="K982" t="s">
        <v>36</v>
      </c>
      <c r="L982">
        <v>7.25</v>
      </c>
      <c r="M982">
        <v>14</v>
      </c>
      <c r="N982" s="2">
        <v>0</v>
      </c>
      <c r="O982">
        <v>101.5</v>
      </c>
      <c r="P982">
        <v>0</v>
      </c>
      <c r="Q982">
        <f>Sheet1__3_1_1_1[[#This Row],[Gross_Revenue]]-Sheet1__3_1_1_1[[#This Row],[Discount_Amount]]</f>
        <v>101.5</v>
      </c>
      <c r="R982">
        <v>38.57</v>
      </c>
      <c r="S982">
        <f>Sheet1__3_1_1_1[[#This Row],[Net_Revenue]]-Sheet1__3_1_1_1[[#This Row],[COGS]]</f>
        <v>62.93</v>
      </c>
    </row>
    <row r="983" spans="1:19" x14ac:dyDescent="0.25">
      <c r="A983" t="s">
        <v>1078</v>
      </c>
      <c r="B983" s="1">
        <v>45013</v>
      </c>
      <c r="C983" t="s">
        <v>99</v>
      </c>
      <c r="D983" t="s">
        <v>132</v>
      </c>
      <c r="E983" t="s">
        <v>63</v>
      </c>
      <c r="F983" t="s">
        <v>31</v>
      </c>
      <c r="G983" t="s">
        <v>32</v>
      </c>
      <c r="H983" t="s">
        <v>41</v>
      </c>
      <c r="I983" t="s">
        <v>34</v>
      </c>
      <c r="J983" t="s">
        <v>49</v>
      </c>
      <c r="K983" t="s">
        <v>36</v>
      </c>
      <c r="L983">
        <v>462.57</v>
      </c>
      <c r="M983">
        <v>7</v>
      </c>
      <c r="N983" s="2">
        <v>0</v>
      </c>
      <c r="O983">
        <v>3237.99</v>
      </c>
      <c r="P983">
        <v>0</v>
      </c>
      <c r="Q983">
        <f>Sheet1__3_1_1_1[[#This Row],[Gross_Revenue]]-Sheet1__3_1_1_1[[#This Row],[Discount_Amount]]</f>
        <v>3237.99</v>
      </c>
      <c r="R983">
        <v>1554.24</v>
      </c>
      <c r="S983">
        <f>Sheet1__3_1_1_1[[#This Row],[Net_Revenue]]-Sheet1__3_1_1_1[[#This Row],[COGS]]</f>
        <v>1683.7499999999998</v>
      </c>
    </row>
    <row r="984" spans="1:19" x14ac:dyDescent="0.25">
      <c r="A984" t="s">
        <v>1079</v>
      </c>
      <c r="B984" s="1">
        <v>45176</v>
      </c>
      <c r="C984" t="s">
        <v>77</v>
      </c>
      <c r="D984" t="s">
        <v>78</v>
      </c>
      <c r="E984" t="s">
        <v>39</v>
      </c>
      <c r="F984" t="s">
        <v>31</v>
      </c>
      <c r="G984" t="s">
        <v>32</v>
      </c>
      <c r="H984" t="s">
        <v>24</v>
      </c>
      <c r="I984" t="s">
        <v>34</v>
      </c>
      <c r="J984" t="s">
        <v>94</v>
      </c>
      <c r="K984" t="s">
        <v>143</v>
      </c>
      <c r="L984">
        <v>390.26</v>
      </c>
      <c r="M984">
        <v>7</v>
      </c>
      <c r="N984" s="2">
        <v>0.2</v>
      </c>
      <c r="O984">
        <v>2731.8199999999997</v>
      </c>
      <c r="P984">
        <v>546.36399999999992</v>
      </c>
      <c r="Q984">
        <f>Sheet1__3_1_1_1[[#This Row],[Gross_Revenue]]-Sheet1__3_1_1_1[[#This Row],[Discount_Amount]]</f>
        <v>2185.4559999999997</v>
      </c>
      <c r="R984">
        <v>1049.02</v>
      </c>
      <c r="S984">
        <f>Sheet1__3_1_1_1[[#This Row],[Net_Revenue]]-Sheet1__3_1_1_1[[#This Row],[COGS]]</f>
        <v>1136.4359999999997</v>
      </c>
    </row>
    <row r="985" spans="1:19" x14ac:dyDescent="0.25">
      <c r="A985" t="s">
        <v>1080</v>
      </c>
      <c r="B985" s="1">
        <v>45198</v>
      </c>
      <c r="C985" t="s">
        <v>44</v>
      </c>
      <c r="D985" t="s">
        <v>65</v>
      </c>
      <c r="E985" t="s">
        <v>21</v>
      </c>
      <c r="F985" t="s">
        <v>79</v>
      </c>
      <c r="G985" t="s">
        <v>172</v>
      </c>
      <c r="H985" t="s">
        <v>59</v>
      </c>
      <c r="I985" t="s">
        <v>48</v>
      </c>
      <c r="J985" t="s">
        <v>26</v>
      </c>
      <c r="K985" t="s">
        <v>36</v>
      </c>
      <c r="L985">
        <v>420.82</v>
      </c>
      <c r="M985">
        <v>4</v>
      </c>
      <c r="N985" s="2">
        <v>0</v>
      </c>
      <c r="O985">
        <v>1683.28</v>
      </c>
      <c r="P985">
        <v>0</v>
      </c>
      <c r="Q985">
        <f>Sheet1__3_1_1_1[[#This Row],[Gross_Revenue]]-Sheet1__3_1_1_1[[#This Row],[Discount_Amount]]</f>
        <v>1683.28</v>
      </c>
      <c r="R985">
        <v>1043.6300000000001</v>
      </c>
      <c r="S985">
        <f>Sheet1__3_1_1_1[[#This Row],[Net_Revenue]]-Sheet1__3_1_1_1[[#This Row],[COGS]]</f>
        <v>639.64999999999986</v>
      </c>
    </row>
    <row r="986" spans="1:19" x14ac:dyDescent="0.25">
      <c r="A986" t="s">
        <v>1081</v>
      </c>
      <c r="B986" s="1">
        <v>44624</v>
      </c>
      <c r="C986" t="s">
        <v>44</v>
      </c>
      <c r="D986" t="s">
        <v>65</v>
      </c>
      <c r="E986" t="s">
        <v>63</v>
      </c>
      <c r="F986" t="s">
        <v>69</v>
      </c>
      <c r="G986" t="s">
        <v>101</v>
      </c>
      <c r="H986" t="s">
        <v>57</v>
      </c>
      <c r="I986" t="s">
        <v>34</v>
      </c>
      <c r="J986" t="s">
        <v>89</v>
      </c>
      <c r="K986" t="s">
        <v>36</v>
      </c>
      <c r="L986">
        <v>7.85</v>
      </c>
      <c r="M986">
        <v>10</v>
      </c>
      <c r="N986" s="2">
        <v>0</v>
      </c>
      <c r="O986">
        <v>78.5</v>
      </c>
      <c r="P986">
        <v>0</v>
      </c>
      <c r="Q986">
        <f>Sheet1__3_1_1_1[[#This Row],[Gross_Revenue]]-Sheet1__3_1_1_1[[#This Row],[Discount_Amount]]</f>
        <v>78.5</v>
      </c>
      <c r="R986">
        <v>29.83</v>
      </c>
      <c r="S986">
        <f>Sheet1__3_1_1_1[[#This Row],[Net_Revenue]]-Sheet1__3_1_1_1[[#This Row],[COGS]]</f>
        <v>48.67</v>
      </c>
    </row>
    <row r="987" spans="1:19" x14ac:dyDescent="0.25">
      <c r="A987" t="s">
        <v>1082</v>
      </c>
      <c r="B987" s="1">
        <v>44634</v>
      </c>
      <c r="C987" t="s">
        <v>77</v>
      </c>
      <c r="D987" t="s">
        <v>78</v>
      </c>
      <c r="E987" t="s">
        <v>63</v>
      </c>
      <c r="F987" t="s">
        <v>22</v>
      </c>
      <c r="G987" t="s">
        <v>149</v>
      </c>
      <c r="H987" t="s">
        <v>87</v>
      </c>
      <c r="I987" t="s">
        <v>48</v>
      </c>
      <c r="J987" t="s">
        <v>89</v>
      </c>
      <c r="K987" t="s">
        <v>143</v>
      </c>
      <c r="L987">
        <v>22.56</v>
      </c>
      <c r="M987">
        <v>27</v>
      </c>
      <c r="N987" s="2">
        <v>0.15</v>
      </c>
      <c r="O987">
        <v>609.12</v>
      </c>
      <c r="P987">
        <v>91.367999999999995</v>
      </c>
      <c r="Q987">
        <f>Sheet1__3_1_1_1[[#This Row],[Gross_Revenue]]-Sheet1__3_1_1_1[[#This Row],[Discount_Amount]]</f>
        <v>517.75199999999995</v>
      </c>
      <c r="R987">
        <v>284.76</v>
      </c>
      <c r="S987">
        <f>Sheet1__3_1_1_1[[#This Row],[Net_Revenue]]-Sheet1__3_1_1_1[[#This Row],[COGS]]</f>
        <v>232.99199999999996</v>
      </c>
    </row>
    <row r="988" spans="1:19" x14ac:dyDescent="0.25">
      <c r="A988" t="s">
        <v>1083</v>
      </c>
      <c r="B988" s="1">
        <v>44699</v>
      </c>
      <c r="C988" t="s">
        <v>29</v>
      </c>
      <c r="D988" t="s">
        <v>38</v>
      </c>
      <c r="E988" t="s">
        <v>21</v>
      </c>
      <c r="F988" t="s">
        <v>79</v>
      </c>
      <c r="G988" t="s">
        <v>85</v>
      </c>
      <c r="H988" t="s">
        <v>108</v>
      </c>
      <c r="I988" t="s">
        <v>34</v>
      </c>
      <c r="J988" t="s">
        <v>35</v>
      </c>
      <c r="K988" t="s">
        <v>53</v>
      </c>
      <c r="L988">
        <v>774.43</v>
      </c>
      <c r="M988">
        <v>2</v>
      </c>
      <c r="N988" s="2">
        <v>0.2</v>
      </c>
      <c r="O988">
        <v>1548.86</v>
      </c>
      <c r="P988">
        <v>309.77199999999999</v>
      </c>
      <c r="Q988">
        <f>Sheet1__3_1_1_1[[#This Row],[Gross_Revenue]]-Sheet1__3_1_1_1[[#This Row],[Discount_Amount]]</f>
        <v>1239.088</v>
      </c>
      <c r="R988">
        <v>768.24</v>
      </c>
      <c r="S988">
        <f>Sheet1__3_1_1_1[[#This Row],[Net_Revenue]]-Sheet1__3_1_1_1[[#This Row],[COGS]]</f>
        <v>470.84799999999996</v>
      </c>
    </row>
    <row r="989" spans="1:19" x14ac:dyDescent="0.25">
      <c r="A989" t="s">
        <v>1084</v>
      </c>
      <c r="B989" s="1">
        <v>44759</v>
      </c>
      <c r="C989" t="s">
        <v>29</v>
      </c>
      <c r="D989" t="s">
        <v>30</v>
      </c>
      <c r="E989" t="s">
        <v>21</v>
      </c>
      <c r="F989" t="s">
        <v>31</v>
      </c>
      <c r="G989" t="s">
        <v>166</v>
      </c>
      <c r="H989" t="s">
        <v>52</v>
      </c>
      <c r="I989" t="s">
        <v>42</v>
      </c>
      <c r="J989" t="s">
        <v>35</v>
      </c>
      <c r="K989" t="s">
        <v>36</v>
      </c>
      <c r="L989">
        <v>338.23</v>
      </c>
      <c r="M989">
        <v>4</v>
      </c>
      <c r="N989" s="2">
        <v>0</v>
      </c>
      <c r="O989">
        <v>1352.92</v>
      </c>
      <c r="P989">
        <v>0</v>
      </c>
      <c r="Q989">
        <f>Sheet1__3_1_1_1[[#This Row],[Gross_Revenue]]-Sheet1__3_1_1_1[[#This Row],[Discount_Amount]]</f>
        <v>1352.92</v>
      </c>
      <c r="R989">
        <v>649.4</v>
      </c>
      <c r="S989">
        <f>Sheet1__3_1_1_1[[#This Row],[Net_Revenue]]-Sheet1__3_1_1_1[[#This Row],[COGS]]</f>
        <v>703.5200000000001</v>
      </c>
    </row>
    <row r="990" spans="1:19" x14ac:dyDescent="0.25">
      <c r="A990" t="s">
        <v>1085</v>
      </c>
      <c r="B990" s="1">
        <v>45064</v>
      </c>
      <c r="C990" t="s">
        <v>99</v>
      </c>
      <c r="D990" t="s">
        <v>148</v>
      </c>
      <c r="E990" t="s">
        <v>66</v>
      </c>
      <c r="F990" t="s">
        <v>22</v>
      </c>
      <c r="G990" t="s">
        <v>149</v>
      </c>
      <c r="H990" t="s">
        <v>111</v>
      </c>
      <c r="I990" t="s">
        <v>42</v>
      </c>
      <c r="J990" t="s">
        <v>49</v>
      </c>
      <c r="K990" t="s">
        <v>27</v>
      </c>
      <c r="L990">
        <v>24.91</v>
      </c>
      <c r="M990">
        <v>6</v>
      </c>
      <c r="N990" s="2">
        <v>0.2</v>
      </c>
      <c r="O990">
        <v>149.46</v>
      </c>
      <c r="P990">
        <v>29.892000000000003</v>
      </c>
      <c r="Q990">
        <f>Sheet1__3_1_1_1[[#This Row],[Gross_Revenue]]-Sheet1__3_1_1_1[[#This Row],[Discount_Amount]]</f>
        <v>119.56800000000001</v>
      </c>
      <c r="R990">
        <v>65.760000000000005</v>
      </c>
      <c r="S990">
        <f>Sheet1__3_1_1_1[[#This Row],[Net_Revenue]]-Sheet1__3_1_1_1[[#This Row],[COGS]]</f>
        <v>53.808000000000007</v>
      </c>
    </row>
    <row r="991" spans="1:19" x14ac:dyDescent="0.25">
      <c r="A991" t="s">
        <v>1086</v>
      </c>
      <c r="B991" s="1">
        <v>44974</v>
      </c>
      <c r="C991" t="s">
        <v>19</v>
      </c>
      <c r="D991" t="s">
        <v>91</v>
      </c>
      <c r="E991" t="s">
        <v>21</v>
      </c>
      <c r="F991" t="s">
        <v>55</v>
      </c>
      <c r="G991" t="s">
        <v>83</v>
      </c>
      <c r="H991" t="s">
        <v>33</v>
      </c>
      <c r="I991" t="s">
        <v>48</v>
      </c>
      <c r="J991" t="s">
        <v>35</v>
      </c>
      <c r="K991" t="s">
        <v>36</v>
      </c>
      <c r="L991">
        <v>48.37</v>
      </c>
      <c r="M991">
        <v>8</v>
      </c>
      <c r="N991" s="2">
        <v>0.2</v>
      </c>
      <c r="O991">
        <v>386.96</v>
      </c>
      <c r="P991">
        <v>77.391999999999996</v>
      </c>
      <c r="Q991">
        <f>Sheet1__3_1_1_1[[#This Row],[Gross_Revenue]]-Sheet1__3_1_1_1[[#This Row],[Discount_Amount]]</f>
        <v>309.56799999999998</v>
      </c>
      <c r="R991">
        <v>130.02000000000001</v>
      </c>
      <c r="S991">
        <f>Sheet1__3_1_1_1[[#This Row],[Net_Revenue]]-Sheet1__3_1_1_1[[#This Row],[COGS]]</f>
        <v>179.54799999999997</v>
      </c>
    </row>
    <row r="992" spans="1:19" x14ac:dyDescent="0.25">
      <c r="A992" t="s">
        <v>1087</v>
      </c>
      <c r="B992" s="1">
        <v>44702</v>
      </c>
      <c r="C992" t="s">
        <v>29</v>
      </c>
      <c r="D992" t="s">
        <v>30</v>
      </c>
      <c r="E992" t="s">
        <v>63</v>
      </c>
      <c r="F992" t="s">
        <v>55</v>
      </c>
      <c r="G992" t="s">
        <v>67</v>
      </c>
      <c r="H992" t="s">
        <v>87</v>
      </c>
      <c r="I992" t="s">
        <v>25</v>
      </c>
      <c r="J992" t="s">
        <v>94</v>
      </c>
      <c r="K992" t="s">
        <v>27</v>
      </c>
      <c r="L992">
        <v>84.86</v>
      </c>
      <c r="M992">
        <v>1</v>
      </c>
      <c r="N992" s="2">
        <v>0</v>
      </c>
      <c r="O992">
        <v>84.86</v>
      </c>
      <c r="P992">
        <v>0</v>
      </c>
      <c r="Q992">
        <f>Sheet1__3_1_1_1[[#This Row],[Gross_Revenue]]-Sheet1__3_1_1_1[[#This Row],[Discount_Amount]]</f>
        <v>84.86</v>
      </c>
      <c r="R992">
        <v>35.64</v>
      </c>
      <c r="S992">
        <f>Sheet1__3_1_1_1[[#This Row],[Net_Revenue]]-Sheet1__3_1_1_1[[#This Row],[COGS]]</f>
        <v>49.22</v>
      </c>
    </row>
    <row r="993" spans="1:19" x14ac:dyDescent="0.25">
      <c r="A993" t="s">
        <v>1088</v>
      </c>
      <c r="B993" s="1">
        <v>44984</v>
      </c>
      <c r="C993" t="s">
        <v>44</v>
      </c>
      <c r="D993" t="s">
        <v>51</v>
      </c>
      <c r="E993" t="s">
        <v>63</v>
      </c>
      <c r="F993" t="s">
        <v>79</v>
      </c>
      <c r="G993" t="s">
        <v>85</v>
      </c>
      <c r="H993" t="s">
        <v>87</v>
      </c>
      <c r="I993" t="s">
        <v>60</v>
      </c>
      <c r="J993" t="s">
        <v>49</v>
      </c>
      <c r="K993" t="s">
        <v>36</v>
      </c>
      <c r="L993">
        <v>765.58</v>
      </c>
      <c r="M993">
        <v>3</v>
      </c>
      <c r="N993" s="2">
        <v>0</v>
      </c>
      <c r="O993">
        <v>2296.7400000000002</v>
      </c>
      <c r="P993">
        <v>0</v>
      </c>
      <c r="Q993">
        <f>Sheet1__3_1_1_1[[#This Row],[Gross_Revenue]]-Sheet1__3_1_1_1[[#This Row],[Discount_Amount]]</f>
        <v>2296.7400000000002</v>
      </c>
      <c r="R993">
        <v>1423.98</v>
      </c>
      <c r="S993">
        <f>Sheet1__3_1_1_1[[#This Row],[Net_Revenue]]-Sheet1__3_1_1_1[[#This Row],[COGS]]</f>
        <v>872.76000000000022</v>
      </c>
    </row>
    <row r="994" spans="1:19" x14ac:dyDescent="0.25">
      <c r="A994" t="s">
        <v>1089</v>
      </c>
      <c r="B994" s="1">
        <v>44722</v>
      </c>
      <c r="C994" t="s">
        <v>19</v>
      </c>
      <c r="D994" t="s">
        <v>130</v>
      </c>
      <c r="E994" t="s">
        <v>21</v>
      </c>
      <c r="F994" t="s">
        <v>22</v>
      </c>
      <c r="G994" t="s">
        <v>149</v>
      </c>
      <c r="H994" t="s">
        <v>57</v>
      </c>
      <c r="I994" t="s">
        <v>34</v>
      </c>
      <c r="J994" t="s">
        <v>26</v>
      </c>
      <c r="K994" t="s">
        <v>53</v>
      </c>
      <c r="L994">
        <v>20.73</v>
      </c>
      <c r="M994">
        <v>2</v>
      </c>
      <c r="N994" s="2">
        <v>0.05</v>
      </c>
      <c r="O994">
        <v>41.46</v>
      </c>
      <c r="P994">
        <v>2.073</v>
      </c>
      <c r="Q994">
        <f>Sheet1__3_1_1_1[[#This Row],[Gross_Revenue]]-Sheet1__3_1_1_1[[#This Row],[Discount_Amount]]</f>
        <v>39.387</v>
      </c>
      <c r="R994">
        <v>21.66</v>
      </c>
      <c r="S994">
        <f>Sheet1__3_1_1_1[[#This Row],[Net_Revenue]]-Sheet1__3_1_1_1[[#This Row],[COGS]]</f>
        <v>17.727</v>
      </c>
    </row>
    <row r="995" spans="1:19" x14ac:dyDescent="0.25">
      <c r="A995" t="s">
        <v>1090</v>
      </c>
      <c r="B995" s="1">
        <v>45195</v>
      </c>
      <c r="C995" t="s">
        <v>99</v>
      </c>
      <c r="D995" t="s">
        <v>100</v>
      </c>
      <c r="E995" t="s">
        <v>21</v>
      </c>
      <c r="F995" t="s">
        <v>55</v>
      </c>
      <c r="G995" t="s">
        <v>103</v>
      </c>
      <c r="H995" t="s">
        <v>108</v>
      </c>
      <c r="I995" t="s">
        <v>42</v>
      </c>
      <c r="J995" t="s">
        <v>89</v>
      </c>
      <c r="K995" t="s">
        <v>53</v>
      </c>
      <c r="L995">
        <v>172.39</v>
      </c>
      <c r="M995">
        <v>1</v>
      </c>
      <c r="N995" s="2">
        <v>0.1</v>
      </c>
      <c r="O995">
        <v>172.39</v>
      </c>
      <c r="P995">
        <v>17.239000000000001</v>
      </c>
      <c r="Q995">
        <f>Sheet1__3_1_1_1[[#This Row],[Gross_Revenue]]-Sheet1__3_1_1_1[[#This Row],[Discount_Amount]]</f>
        <v>155.15099999999998</v>
      </c>
      <c r="R995">
        <v>65.16</v>
      </c>
      <c r="S995">
        <f>Sheet1__3_1_1_1[[#This Row],[Net_Revenue]]-Sheet1__3_1_1_1[[#This Row],[COGS]]</f>
        <v>89.990999999999985</v>
      </c>
    </row>
    <row r="996" spans="1:19" x14ac:dyDescent="0.25">
      <c r="A996" t="s">
        <v>1091</v>
      </c>
      <c r="B996" s="1">
        <v>45273</v>
      </c>
      <c r="C996" t="s">
        <v>19</v>
      </c>
      <c r="D996" t="s">
        <v>20</v>
      </c>
      <c r="E996" t="s">
        <v>21</v>
      </c>
      <c r="F996" t="s">
        <v>79</v>
      </c>
      <c r="G996" t="s">
        <v>172</v>
      </c>
      <c r="H996" t="s">
        <v>106</v>
      </c>
      <c r="I996" t="s">
        <v>42</v>
      </c>
      <c r="J996" t="s">
        <v>35</v>
      </c>
      <c r="K996" t="s">
        <v>36</v>
      </c>
      <c r="L996">
        <v>417.25</v>
      </c>
      <c r="M996">
        <v>6</v>
      </c>
      <c r="N996" s="2">
        <v>0.15</v>
      </c>
      <c r="O996">
        <v>2503.5</v>
      </c>
      <c r="P996">
        <v>375.52499999999998</v>
      </c>
      <c r="Q996">
        <f>Sheet1__3_1_1_1[[#This Row],[Gross_Revenue]]-Sheet1__3_1_1_1[[#This Row],[Discount_Amount]]</f>
        <v>2127.9749999999999</v>
      </c>
      <c r="R996">
        <v>1319.35</v>
      </c>
      <c r="S996">
        <f>Sheet1__3_1_1_1[[#This Row],[Net_Revenue]]-Sheet1__3_1_1_1[[#This Row],[COGS]]</f>
        <v>808.625</v>
      </c>
    </row>
    <row r="997" spans="1:19" x14ac:dyDescent="0.25">
      <c r="A997" t="s">
        <v>1092</v>
      </c>
      <c r="B997" s="1">
        <v>45050</v>
      </c>
      <c r="C997" t="s">
        <v>77</v>
      </c>
      <c r="D997" t="s">
        <v>82</v>
      </c>
      <c r="E997" t="s">
        <v>63</v>
      </c>
      <c r="F997" t="s">
        <v>22</v>
      </c>
      <c r="G997" t="s">
        <v>149</v>
      </c>
      <c r="H997" t="s">
        <v>41</v>
      </c>
      <c r="I997" t="s">
        <v>34</v>
      </c>
      <c r="J997" t="s">
        <v>35</v>
      </c>
      <c r="K997" t="s">
        <v>53</v>
      </c>
      <c r="L997">
        <v>22.59</v>
      </c>
      <c r="M997">
        <v>16</v>
      </c>
      <c r="N997" s="2">
        <v>0</v>
      </c>
      <c r="O997">
        <v>361.44</v>
      </c>
      <c r="P997">
        <v>0</v>
      </c>
      <c r="Q997">
        <f>Sheet1__3_1_1_1[[#This Row],[Gross_Revenue]]-Sheet1__3_1_1_1[[#This Row],[Discount_Amount]]</f>
        <v>361.44</v>
      </c>
      <c r="R997">
        <v>198.79</v>
      </c>
      <c r="S997">
        <f>Sheet1__3_1_1_1[[#This Row],[Net_Revenue]]-Sheet1__3_1_1_1[[#This Row],[COGS]]</f>
        <v>162.65</v>
      </c>
    </row>
    <row r="998" spans="1:19" x14ac:dyDescent="0.25">
      <c r="A998" t="s">
        <v>1093</v>
      </c>
      <c r="B998" s="1">
        <v>44802</v>
      </c>
      <c r="C998" t="s">
        <v>19</v>
      </c>
      <c r="D998" t="s">
        <v>20</v>
      </c>
      <c r="E998" t="s">
        <v>66</v>
      </c>
      <c r="F998" t="s">
        <v>69</v>
      </c>
      <c r="G998" t="s">
        <v>126</v>
      </c>
      <c r="H998" t="s">
        <v>59</v>
      </c>
      <c r="I998" t="s">
        <v>25</v>
      </c>
      <c r="J998" t="s">
        <v>35</v>
      </c>
      <c r="K998" t="s">
        <v>143</v>
      </c>
      <c r="L998">
        <v>21.62</v>
      </c>
      <c r="M998">
        <v>2</v>
      </c>
      <c r="N998" s="2">
        <v>0.1</v>
      </c>
      <c r="O998">
        <v>43.24</v>
      </c>
      <c r="P998">
        <v>4.3240000000000007</v>
      </c>
      <c r="Q998">
        <f>Sheet1__3_1_1_1[[#This Row],[Gross_Revenue]]-Sheet1__3_1_1_1[[#This Row],[Discount_Amount]]</f>
        <v>38.916000000000004</v>
      </c>
      <c r="R998">
        <v>14.79</v>
      </c>
      <c r="S998">
        <f>Sheet1__3_1_1_1[[#This Row],[Net_Revenue]]-Sheet1__3_1_1_1[[#This Row],[COGS]]</f>
        <v>24.126000000000005</v>
      </c>
    </row>
    <row r="999" spans="1:19" x14ac:dyDescent="0.25">
      <c r="A999" t="s">
        <v>1094</v>
      </c>
      <c r="B999" s="1">
        <v>44869</v>
      </c>
      <c r="C999" t="s">
        <v>77</v>
      </c>
      <c r="D999" t="s">
        <v>110</v>
      </c>
      <c r="E999" t="s">
        <v>39</v>
      </c>
      <c r="F999" t="s">
        <v>22</v>
      </c>
      <c r="G999" t="s">
        <v>46</v>
      </c>
      <c r="H999" t="s">
        <v>59</v>
      </c>
      <c r="I999" t="s">
        <v>25</v>
      </c>
      <c r="J999" t="s">
        <v>94</v>
      </c>
      <c r="K999" t="s">
        <v>36</v>
      </c>
      <c r="L999">
        <v>20.14</v>
      </c>
      <c r="M999">
        <v>18</v>
      </c>
      <c r="N999" s="2">
        <v>0</v>
      </c>
      <c r="O999">
        <v>362.52</v>
      </c>
      <c r="P999">
        <v>0</v>
      </c>
      <c r="Q999">
        <f>Sheet1__3_1_1_1[[#This Row],[Gross_Revenue]]-Sheet1__3_1_1_1[[#This Row],[Discount_Amount]]</f>
        <v>362.52</v>
      </c>
      <c r="R999">
        <v>199.39</v>
      </c>
      <c r="S999">
        <f>Sheet1__3_1_1_1[[#This Row],[Net_Revenue]]-Sheet1__3_1_1_1[[#This Row],[COGS]]</f>
        <v>163.13</v>
      </c>
    </row>
    <row r="1000" spans="1:19" x14ac:dyDescent="0.25">
      <c r="A1000" t="s">
        <v>1095</v>
      </c>
      <c r="B1000" s="1">
        <v>45015</v>
      </c>
      <c r="C1000" t="s">
        <v>77</v>
      </c>
      <c r="D1000" t="s">
        <v>82</v>
      </c>
      <c r="E1000" t="s">
        <v>39</v>
      </c>
      <c r="F1000" t="s">
        <v>79</v>
      </c>
      <c r="G1000" t="s">
        <v>80</v>
      </c>
      <c r="H1000" t="s">
        <v>47</v>
      </c>
      <c r="I1000" t="s">
        <v>42</v>
      </c>
      <c r="J1000" t="s">
        <v>35</v>
      </c>
      <c r="K1000" t="s">
        <v>53</v>
      </c>
      <c r="L1000">
        <v>542.28</v>
      </c>
      <c r="M1000">
        <v>7</v>
      </c>
      <c r="N1000" s="2">
        <v>0.05</v>
      </c>
      <c r="O1000">
        <v>3795.96</v>
      </c>
      <c r="P1000">
        <v>189.798</v>
      </c>
      <c r="Q1000">
        <f>Sheet1__3_1_1_1[[#This Row],[Gross_Revenue]]-Sheet1__3_1_1_1[[#This Row],[Discount_Amount]]</f>
        <v>3606.1620000000003</v>
      </c>
      <c r="R1000">
        <v>2235.8200000000002</v>
      </c>
      <c r="S1000">
        <f>Sheet1__3_1_1_1[[#This Row],[Net_Revenue]]-Sheet1__3_1_1_1[[#This Row],[COGS]]</f>
        <v>1370.3420000000001</v>
      </c>
    </row>
    <row r="1001" spans="1:19" x14ac:dyDescent="0.25">
      <c r="A1001" t="s">
        <v>1096</v>
      </c>
      <c r="B1001" s="1">
        <v>45078</v>
      </c>
      <c r="C1001" t="s">
        <v>29</v>
      </c>
      <c r="D1001" t="s">
        <v>30</v>
      </c>
      <c r="E1001" t="s">
        <v>66</v>
      </c>
      <c r="F1001" t="s">
        <v>22</v>
      </c>
      <c r="G1001" t="s">
        <v>113</v>
      </c>
      <c r="H1001" t="s">
        <v>108</v>
      </c>
      <c r="I1001" t="s">
        <v>34</v>
      </c>
      <c r="J1001" t="s">
        <v>94</v>
      </c>
      <c r="K1001" t="s">
        <v>53</v>
      </c>
      <c r="L1001">
        <v>10.6</v>
      </c>
      <c r="M1001">
        <v>25</v>
      </c>
      <c r="N1001" s="2">
        <v>0</v>
      </c>
      <c r="O1001">
        <v>265</v>
      </c>
      <c r="P1001">
        <v>0</v>
      </c>
      <c r="Q1001">
        <f>Sheet1__3_1_1_1[[#This Row],[Gross_Revenue]]-Sheet1__3_1_1_1[[#This Row],[Discount_Amount]]</f>
        <v>265</v>
      </c>
      <c r="R1001">
        <v>145.75</v>
      </c>
      <c r="S1001">
        <f>Sheet1__3_1_1_1[[#This Row],[Net_Revenue]]-Sheet1__3_1_1_1[[#This Row],[COGS]]</f>
        <v>119.25</v>
      </c>
    </row>
    <row r="1002" spans="1:19" x14ac:dyDescent="0.25">
      <c r="A1002" t="s">
        <v>1097</v>
      </c>
      <c r="B1002" s="1">
        <v>44660</v>
      </c>
      <c r="C1002" t="s">
        <v>77</v>
      </c>
      <c r="D1002" t="s">
        <v>82</v>
      </c>
      <c r="E1002" t="s">
        <v>21</v>
      </c>
      <c r="F1002" t="s">
        <v>79</v>
      </c>
      <c r="G1002" t="s">
        <v>172</v>
      </c>
      <c r="H1002" t="s">
        <v>111</v>
      </c>
      <c r="I1002" t="s">
        <v>34</v>
      </c>
      <c r="J1002" t="s">
        <v>49</v>
      </c>
      <c r="K1002" t="s">
        <v>36</v>
      </c>
      <c r="L1002">
        <v>337.29</v>
      </c>
      <c r="M1002">
        <v>4</v>
      </c>
      <c r="N1002" s="2">
        <v>0</v>
      </c>
      <c r="O1002">
        <v>1349.16</v>
      </c>
      <c r="P1002">
        <v>0</v>
      </c>
      <c r="Q1002">
        <f>Sheet1__3_1_1_1[[#This Row],[Gross_Revenue]]-Sheet1__3_1_1_1[[#This Row],[Discount_Amount]]</f>
        <v>1349.16</v>
      </c>
      <c r="R1002">
        <v>836.48</v>
      </c>
      <c r="S1002">
        <f>Sheet1__3_1_1_1[[#This Row],[Net_Revenue]]-Sheet1__3_1_1_1[[#This Row],[COGS]]</f>
        <v>512.68000000000006</v>
      </c>
    </row>
    <row r="1003" spans="1:19" x14ac:dyDescent="0.25">
      <c r="A1003" t="s">
        <v>1098</v>
      </c>
      <c r="B1003" s="1">
        <v>44867</v>
      </c>
      <c r="C1003" t="s">
        <v>77</v>
      </c>
      <c r="D1003" t="s">
        <v>82</v>
      </c>
      <c r="E1003" t="s">
        <v>63</v>
      </c>
      <c r="F1003" t="s">
        <v>69</v>
      </c>
      <c r="G1003" t="s">
        <v>126</v>
      </c>
      <c r="H1003" t="s">
        <v>106</v>
      </c>
      <c r="I1003" t="s">
        <v>42</v>
      </c>
      <c r="J1003" t="s">
        <v>26</v>
      </c>
      <c r="K1003" t="s">
        <v>53</v>
      </c>
      <c r="L1003">
        <v>21.77</v>
      </c>
      <c r="M1003">
        <v>8</v>
      </c>
      <c r="N1003" s="2">
        <v>0.2</v>
      </c>
      <c r="O1003">
        <v>174.16</v>
      </c>
      <c r="P1003">
        <v>34.832000000000001</v>
      </c>
      <c r="Q1003">
        <f>Sheet1__3_1_1_1[[#This Row],[Gross_Revenue]]-Sheet1__3_1_1_1[[#This Row],[Discount_Amount]]</f>
        <v>139.328</v>
      </c>
      <c r="R1003">
        <v>52.95</v>
      </c>
      <c r="S1003">
        <f>Sheet1__3_1_1_1[[#This Row],[Net_Revenue]]-Sheet1__3_1_1_1[[#This Row],[COGS]]</f>
        <v>86.378</v>
      </c>
    </row>
    <row r="1004" spans="1:19" x14ac:dyDescent="0.25">
      <c r="A1004" t="s">
        <v>1099</v>
      </c>
      <c r="B1004" s="1">
        <v>44622</v>
      </c>
      <c r="C1004" t="s">
        <v>99</v>
      </c>
      <c r="D1004" t="s">
        <v>132</v>
      </c>
      <c r="E1004" t="s">
        <v>39</v>
      </c>
      <c r="F1004" t="s">
        <v>55</v>
      </c>
      <c r="G1004" t="s">
        <v>56</v>
      </c>
      <c r="H1004" t="s">
        <v>108</v>
      </c>
      <c r="I1004" t="s">
        <v>48</v>
      </c>
      <c r="J1004" t="s">
        <v>94</v>
      </c>
      <c r="K1004" t="s">
        <v>36</v>
      </c>
      <c r="L1004">
        <v>52.27</v>
      </c>
      <c r="M1004">
        <v>1</v>
      </c>
      <c r="N1004" s="2">
        <v>0.2</v>
      </c>
      <c r="O1004">
        <v>52.27</v>
      </c>
      <c r="P1004">
        <v>10.454000000000001</v>
      </c>
      <c r="Q1004">
        <f>Sheet1__3_1_1_1[[#This Row],[Gross_Revenue]]-Sheet1__3_1_1_1[[#This Row],[Discount_Amount]]</f>
        <v>41.816000000000003</v>
      </c>
      <c r="R1004">
        <v>17.559999999999999</v>
      </c>
      <c r="S1004">
        <f>Sheet1__3_1_1_1[[#This Row],[Net_Revenue]]-Sheet1__3_1_1_1[[#This Row],[COGS]]</f>
        <v>24.256000000000004</v>
      </c>
    </row>
    <row r="1005" spans="1:19" x14ac:dyDescent="0.25">
      <c r="A1005" t="s">
        <v>1100</v>
      </c>
      <c r="B1005" s="1">
        <v>45027</v>
      </c>
      <c r="C1005" t="s">
        <v>29</v>
      </c>
      <c r="D1005" t="s">
        <v>30</v>
      </c>
      <c r="E1005" t="s">
        <v>39</v>
      </c>
      <c r="F1005" t="s">
        <v>69</v>
      </c>
      <c r="G1005" t="s">
        <v>126</v>
      </c>
      <c r="H1005" t="s">
        <v>87</v>
      </c>
      <c r="I1005" t="s">
        <v>34</v>
      </c>
      <c r="J1005" t="s">
        <v>49</v>
      </c>
      <c r="K1005" t="s">
        <v>36</v>
      </c>
      <c r="L1005">
        <v>27.59</v>
      </c>
      <c r="M1005">
        <v>3</v>
      </c>
      <c r="N1005" s="2">
        <v>0.1</v>
      </c>
      <c r="O1005">
        <v>82.77</v>
      </c>
      <c r="P1005">
        <v>8.2769999999999992</v>
      </c>
      <c r="Q1005">
        <f>Sheet1__3_1_1_1[[#This Row],[Gross_Revenue]]-Sheet1__3_1_1_1[[#This Row],[Discount_Amount]]</f>
        <v>74.492999999999995</v>
      </c>
      <c r="R1005">
        <v>28.31</v>
      </c>
      <c r="S1005">
        <f>Sheet1__3_1_1_1[[#This Row],[Net_Revenue]]-Sheet1__3_1_1_1[[#This Row],[COGS]]</f>
        <v>46.182999999999993</v>
      </c>
    </row>
    <row r="1006" spans="1:19" x14ac:dyDescent="0.25">
      <c r="A1006" t="s">
        <v>1101</v>
      </c>
      <c r="B1006" s="1">
        <v>45056</v>
      </c>
      <c r="C1006" t="s">
        <v>44</v>
      </c>
      <c r="D1006" t="s">
        <v>45</v>
      </c>
      <c r="E1006" t="s">
        <v>21</v>
      </c>
      <c r="F1006" t="s">
        <v>69</v>
      </c>
      <c r="G1006" t="s">
        <v>190</v>
      </c>
      <c r="H1006" t="s">
        <v>47</v>
      </c>
      <c r="I1006" t="s">
        <v>60</v>
      </c>
      <c r="J1006" t="s">
        <v>26</v>
      </c>
      <c r="K1006" t="s">
        <v>36</v>
      </c>
      <c r="L1006">
        <v>19.809999999999999</v>
      </c>
      <c r="M1006">
        <v>4</v>
      </c>
      <c r="N1006" s="2">
        <v>0.2</v>
      </c>
      <c r="O1006">
        <v>79.239999999999995</v>
      </c>
      <c r="P1006">
        <v>15.847999999999999</v>
      </c>
      <c r="Q1006">
        <f>Sheet1__3_1_1_1[[#This Row],[Gross_Revenue]]-Sheet1__3_1_1_1[[#This Row],[Discount_Amount]]</f>
        <v>63.391999999999996</v>
      </c>
      <c r="R1006">
        <v>24.09</v>
      </c>
      <c r="S1006">
        <f>Sheet1__3_1_1_1[[#This Row],[Net_Revenue]]-Sheet1__3_1_1_1[[#This Row],[COGS]]</f>
        <v>39.301999999999992</v>
      </c>
    </row>
    <row r="1007" spans="1:19" x14ac:dyDescent="0.25">
      <c r="A1007" t="s">
        <v>1102</v>
      </c>
      <c r="B1007" s="1">
        <v>44585</v>
      </c>
      <c r="C1007" t="s">
        <v>19</v>
      </c>
      <c r="D1007" t="s">
        <v>20</v>
      </c>
      <c r="E1007" t="s">
        <v>63</v>
      </c>
      <c r="F1007" t="s">
        <v>31</v>
      </c>
      <c r="G1007" t="s">
        <v>32</v>
      </c>
      <c r="H1007" t="s">
        <v>33</v>
      </c>
      <c r="I1007" t="s">
        <v>25</v>
      </c>
      <c r="J1007" t="s">
        <v>49</v>
      </c>
      <c r="K1007" t="s">
        <v>36</v>
      </c>
      <c r="L1007">
        <v>435.93</v>
      </c>
      <c r="M1007">
        <v>7</v>
      </c>
      <c r="N1007" s="2">
        <v>0.1</v>
      </c>
      <c r="O1007">
        <v>3051.51</v>
      </c>
      <c r="P1007">
        <v>305.15100000000001</v>
      </c>
      <c r="Q1007">
        <f>Sheet1__3_1_1_1[[#This Row],[Gross_Revenue]]-Sheet1__3_1_1_1[[#This Row],[Discount_Amount]]</f>
        <v>2746.3590000000004</v>
      </c>
      <c r="R1007">
        <v>1318.25</v>
      </c>
      <c r="S1007">
        <f>Sheet1__3_1_1_1[[#This Row],[Net_Revenue]]-Sheet1__3_1_1_1[[#This Row],[COGS]]</f>
        <v>1428.1090000000004</v>
      </c>
    </row>
    <row r="1008" spans="1:19" x14ac:dyDescent="0.25">
      <c r="A1008" t="s">
        <v>1103</v>
      </c>
      <c r="B1008" s="1">
        <v>44875</v>
      </c>
      <c r="C1008" t="s">
        <v>44</v>
      </c>
      <c r="D1008" t="s">
        <v>45</v>
      </c>
      <c r="E1008" t="s">
        <v>21</v>
      </c>
      <c r="F1008" t="s">
        <v>55</v>
      </c>
      <c r="G1008" t="s">
        <v>56</v>
      </c>
      <c r="H1008" t="s">
        <v>47</v>
      </c>
      <c r="I1008" t="s">
        <v>42</v>
      </c>
      <c r="J1008" t="s">
        <v>94</v>
      </c>
      <c r="K1008" t="s">
        <v>143</v>
      </c>
      <c r="L1008">
        <v>44.58</v>
      </c>
      <c r="M1008">
        <v>8</v>
      </c>
      <c r="N1008" s="2">
        <v>0</v>
      </c>
      <c r="O1008">
        <v>356.64</v>
      </c>
      <c r="P1008">
        <v>0</v>
      </c>
      <c r="Q1008">
        <f>Sheet1__3_1_1_1[[#This Row],[Gross_Revenue]]-Sheet1__3_1_1_1[[#This Row],[Discount_Amount]]</f>
        <v>356.64</v>
      </c>
      <c r="R1008">
        <v>149.79</v>
      </c>
      <c r="S1008">
        <f>Sheet1__3_1_1_1[[#This Row],[Net_Revenue]]-Sheet1__3_1_1_1[[#This Row],[COGS]]</f>
        <v>206.85</v>
      </c>
    </row>
    <row r="1009" spans="1:19" x14ac:dyDescent="0.25">
      <c r="A1009" t="s">
        <v>1104</v>
      </c>
      <c r="B1009" s="1">
        <v>44716</v>
      </c>
      <c r="C1009" t="s">
        <v>29</v>
      </c>
      <c r="D1009" t="s">
        <v>30</v>
      </c>
      <c r="E1009" t="s">
        <v>66</v>
      </c>
      <c r="F1009" t="s">
        <v>22</v>
      </c>
      <c r="G1009" t="s">
        <v>75</v>
      </c>
      <c r="H1009" t="s">
        <v>106</v>
      </c>
      <c r="I1009" t="s">
        <v>34</v>
      </c>
      <c r="J1009" t="s">
        <v>26</v>
      </c>
      <c r="K1009" t="s">
        <v>143</v>
      </c>
      <c r="L1009">
        <v>11.52</v>
      </c>
      <c r="M1009">
        <v>26</v>
      </c>
      <c r="N1009" s="2">
        <v>0.05</v>
      </c>
      <c r="O1009">
        <v>299.52</v>
      </c>
      <c r="P1009">
        <v>14.975999999999999</v>
      </c>
      <c r="Q1009">
        <f>Sheet1__3_1_1_1[[#This Row],[Gross_Revenue]]-Sheet1__3_1_1_1[[#This Row],[Discount_Amount]]</f>
        <v>284.54399999999998</v>
      </c>
      <c r="R1009">
        <v>156.5</v>
      </c>
      <c r="S1009">
        <f>Sheet1__3_1_1_1[[#This Row],[Net_Revenue]]-Sheet1__3_1_1_1[[#This Row],[COGS]]</f>
        <v>128.04399999999998</v>
      </c>
    </row>
    <row r="1010" spans="1:19" x14ac:dyDescent="0.25">
      <c r="A1010" t="s">
        <v>1105</v>
      </c>
      <c r="B1010" s="1">
        <v>45205</v>
      </c>
      <c r="C1010" t="s">
        <v>77</v>
      </c>
      <c r="D1010" t="s">
        <v>78</v>
      </c>
      <c r="E1010" t="s">
        <v>21</v>
      </c>
      <c r="F1010" t="s">
        <v>22</v>
      </c>
      <c r="G1010" t="s">
        <v>75</v>
      </c>
      <c r="H1010" t="s">
        <v>108</v>
      </c>
      <c r="I1010" t="s">
        <v>48</v>
      </c>
      <c r="J1010" t="s">
        <v>89</v>
      </c>
      <c r="K1010" t="s">
        <v>36</v>
      </c>
      <c r="L1010">
        <v>9.1</v>
      </c>
      <c r="M1010">
        <v>3</v>
      </c>
      <c r="N1010" s="2">
        <v>0.05</v>
      </c>
      <c r="O1010">
        <v>27.299999999999997</v>
      </c>
      <c r="P1010">
        <v>1.365</v>
      </c>
      <c r="Q1010">
        <f>Sheet1__3_1_1_1[[#This Row],[Gross_Revenue]]-Sheet1__3_1_1_1[[#This Row],[Discount_Amount]]</f>
        <v>25.934999999999999</v>
      </c>
      <c r="R1010">
        <v>14.27</v>
      </c>
      <c r="S1010">
        <f>Sheet1__3_1_1_1[[#This Row],[Net_Revenue]]-Sheet1__3_1_1_1[[#This Row],[COGS]]</f>
        <v>11.664999999999999</v>
      </c>
    </row>
    <row r="1011" spans="1:19" x14ac:dyDescent="0.25">
      <c r="A1011" t="s">
        <v>1106</v>
      </c>
      <c r="B1011" s="1">
        <v>45251</v>
      </c>
      <c r="C1011" t="s">
        <v>19</v>
      </c>
      <c r="D1011" t="s">
        <v>91</v>
      </c>
      <c r="E1011" t="s">
        <v>66</v>
      </c>
      <c r="F1011" t="s">
        <v>69</v>
      </c>
      <c r="G1011" t="s">
        <v>101</v>
      </c>
      <c r="H1011" t="s">
        <v>71</v>
      </c>
      <c r="I1011" t="s">
        <v>60</v>
      </c>
      <c r="J1011" t="s">
        <v>35</v>
      </c>
      <c r="K1011" t="s">
        <v>36</v>
      </c>
      <c r="L1011">
        <v>9.9</v>
      </c>
      <c r="M1011">
        <v>27</v>
      </c>
      <c r="N1011" s="2">
        <v>0</v>
      </c>
      <c r="O1011">
        <v>267.3</v>
      </c>
      <c r="P1011">
        <v>0</v>
      </c>
      <c r="Q1011">
        <f>Sheet1__3_1_1_1[[#This Row],[Gross_Revenue]]-Sheet1__3_1_1_1[[#This Row],[Discount_Amount]]</f>
        <v>267.3</v>
      </c>
      <c r="R1011">
        <v>101.57</v>
      </c>
      <c r="S1011">
        <f>Sheet1__3_1_1_1[[#This Row],[Net_Revenue]]-Sheet1__3_1_1_1[[#This Row],[COGS]]</f>
        <v>165.73000000000002</v>
      </c>
    </row>
    <row r="1012" spans="1:19" x14ac:dyDescent="0.25">
      <c r="A1012" t="s">
        <v>1107</v>
      </c>
      <c r="B1012" s="1">
        <v>45225</v>
      </c>
      <c r="C1012" t="s">
        <v>19</v>
      </c>
      <c r="D1012" t="s">
        <v>91</v>
      </c>
      <c r="E1012" t="s">
        <v>39</v>
      </c>
      <c r="F1012" t="s">
        <v>22</v>
      </c>
      <c r="G1012" t="s">
        <v>75</v>
      </c>
      <c r="H1012" t="s">
        <v>57</v>
      </c>
      <c r="I1012" t="s">
        <v>34</v>
      </c>
      <c r="J1012" t="s">
        <v>49</v>
      </c>
      <c r="K1012" t="s">
        <v>36</v>
      </c>
      <c r="L1012">
        <v>10.65</v>
      </c>
      <c r="M1012">
        <v>3</v>
      </c>
      <c r="N1012" s="2">
        <v>0</v>
      </c>
      <c r="O1012">
        <v>31.950000000000003</v>
      </c>
      <c r="P1012">
        <v>0</v>
      </c>
      <c r="Q1012">
        <f>Sheet1__3_1_1_1[[#This Row],[Gross_Revenue]]-Sheet1__3_1_1_1[[#This Row],[Discount_Amount]]</f>
        <v>31.950000000000003</v>
      </c>
      <c r="R1012">
        <v>17.57</v>
      </c>
      <c r="S1012">
        <f>Sheet1__3_1_1_1[[#This Row],[Net_Revenue]]-Sheet1__3_1_1_1[[#This Row],[COGS]]</f>
        <v>14.380000000000003</v>
      </c>
    </row>
    <row r="1013" spans="1:19" x14ac:dyDescent="0.25">
      <c r="A1013" t="s">
        <v>1108</v>
      </c>
      <c r="B1013" s="1">
        <v>44993</v>
      </c>
      <c r="C1013" t="s">
        <v>77</v>
      </c>
      <c r="D1013" t="s">
        <v>110</v>
      </c>
      <c r="E1013" t="s">
        <v>39</v>
      </c>
      <c r="F1013" t="s">
        <v>55</v>
      </c>
      <c r="G1013" t="s">
        <v>67</v>
      </c>
      <c r="H1013" t="s">
        <v>41</v>
      </c>
      <c r="I1013" t="s">
        <v>25</v>
      </c>
      <c r="J1013" t="s">
        <v>89</v>
      </c>
      <c r="K1013" t="s">
        <v>143</v>
      </c>
      <c r="L1013" t="s">
        <v>1147</v>
      </c>
      <c r="M1013">
        <v>2</v>
      </c>
      <c r="N1013" s="2">
        <v>0.2</v>
      </c>
      <c r="O1013">
        <v>0</v>
      </c>
      <c r="P1013">
        <v>0</v>
      </c>
      <c r="Q1013">
        <f>Sheet1__3_1_1_1[[#This Row],[Gross_Revenue]]-Sheet1__3_1_1_1[[#This Row],[Discount_Amount]]</f>
        <v>0</v>
      </c>
      <c r="R1013" t="s">
        <v>1147</v>
      </c>
      <c r="S1013" t="e">
        <f>Sheet1__3_1_1_1[[#This Row],[Net_Revenue]]-Sheet1__3_1_1_1[[#This Row],[COGS]]</f>
        <v>#VALUE!</v>
      </c>
    </row>
    <row r="1014" spans="1:19" x14ac:dyDescent="0.25">
      <c r="A1014" t="s">
        <v>1109</v>
      </c>
      <c r="B1014" s="1">
        <v>45031</v>
      </c>
      <c r="C1014" t="s">
        <v>29</v>
      </c>
      <c r="D1014" t="s">
        <v>38</v>
      </c>
      <c r="E1014" t="s">
        <v>39</v>
      </c>
      <c r="F1014" t="s">
        <v>55</v>
      </c>
      <c r="G1014" t="s">
        <v>103</v>
      </c>
      <c r="H1014" t="s">
        <v>106</v>
      </c>
      <c r="I1014" t="s">
        <v>34</v>
      </c>
      <c r="J1014" t="s">
        <v>94</v>
      </c>
      <c r="K1014" t="s">
        <v>143</v>
      </c>
      <c r="L1014">
        <v>140.69999999999999</v>
      </c>
      <c r="M1014">
        <v>2</v>
      </c>
      <c r="N1014" s="2">
        <v>0</v>
      </c>
      <c r="O1014">
        <v>281.39999999999998</v>
      </c>
      <c r="P1014">
        <v>0</v>
      </c>
      <c r="Q1014">
        <f>Sheet1__3_1_1_1[[#This Row],[Gross_Revenue]]-Sheet1__3_1_1_1[[#This Row],[Discount_Amount]]</f>
        <v>281.39999999999998</v>
      </c>
      <c r="R1014">
        <v>118.19</v>
      </c>
      <c r="S1014">
        <f>Sheet1__3_1_1_1[[#This Row],[Net_Revenue]]-Sheet1__3_1_1_1[[#This Row],[COGS]]</f>
        <v>163.20999999999998</v>
      </c>
    </row>
    <row r="1015" spans="1:19" x14ac:dyDescent="0.25">
      <c r="A1015" t="s">
        <v>1110</v>
      </c>
      <c r="B1015" s="1">
        <v>45256</v>
      </c>
      <c r="C1015" t="s">
        <v>99</v>
      </c>
      <c r="D1015" t="s">
        <v>132</v>
      </c>
      <c r="E1015" t="s">
        <v>66</v>
      </c>
      <c r="F1015" t="s">
        <v>31</v>
      </c>
      <c r="G1015" t="s">
        <v>122</v>
      </c>
      <c r="H1015" t="s">
        <v>47</v>
      </c>
      <c r="I1015" t="s">
        <v>34</v>
      </c>
      <c r="J1015" t="s">
        <v>94</v>
      </c>
      <c r="K1015" t="s">
        <v>36</v>
      </c>
      <c r="L1015">
        <v>558.27</v>
      </c>
      <c r="M1015">
        <v>4</v>
      </c>
      <c r="N1015" s="2">
        <v>0.2</v>
      </c>
      <c r="O1015">
        <v>2233.08</v>
      </c>
      <c r="P1015">
        <v>446.61599999999999</v>
      </c>
      <c r="Q1015">
        <f>Sheet1__3_1_1_1[[#This Row],[Gross_Revenue]]-Sheet1__3_1_1_1[[#This Row],[Discount_Amount]]</f>
        <v>1786.4639999999999</v>
      </c>
      <c r="R1015">
        <v>857.5</v>
      </c>
      <c r="S1015">
        <f>Sheet1__3_1_1_1[[#This Row],[Net_Revenue]]-Sheet1__3_1_1_1[[#This Row],[COGS]]</f>
        <v>928.96399999999994</v>
      </c>
    </row>
    <row r="1016" spans="1:19" x14ac:dyDescent="0.25">
      <c r="A1016" t="s">
        <v>1111</v>
      </c>
      <c r="B1016" s="1">
        <v>44642</v>
      </c>
      <c r="C1016" t="s">
        <v>44</v>
      </c>
      <c r="D1016" t="s">
        <v>65</v>
      </c>
      <c r="E1016" t="s">
        <v>63</v>
      </c>
      <c r="F1016" t="s">
        <v>31</v>
      </c>
      <c r="G1016" t="s">
        <v>122</v>
      </c>
      <c r="H1016" t="s">
        <v>41</v>
      </c>
      <c r="I1016" t="s">
        <v>25</v>
      </c>
      <c r="J1016" t="s">
        <v>89</v>
      </c>
      <c r="K1016" t="s">
        <v>143</v>
      </c>
      <c r="L1016">
        <v>438.33</v>
      </c>
      <c r="M1016">
        <v>7</v>
      </c>
      <c r="N1016" s="2">
        <v>0.15</v>
      </c>
      <c r="O1016">
        <v>3068.31</v>
      </c>
      <c r="P1016">
        <v>460.24649999999997</v>
      </c>
      <c r="Q1016">
        <f>Sheet1__3_1_1_1[[#This Row],[Gross_Revenue]]-Sheet1__3_1_1_1[[#This Row],[Discount_Amount]]</f>
        <v>2608.0635000000002</v>
      </c>
      <c r="R1016">
        <v>1251.8699999999999</v>
      </c>
      <c r="S1016">
        <f>Sheet1__3_1_1_1[[#This Row],[Net_Revenue]]-Sheet1__3_1_1_1[[#This Row],[COGS]]</f>
        <v>1356.1935000000003</v>
      </c>
    </row>
    <row r="1017" spans="1:19" x14ac:dyDescent="0.25">
      <c r="A1017" t="s">
        <v>1112</v>
      </c>
      <c r="B1017" s="1">
        <v>44960</v>
      </c>
      <c r="C1017" t="s">
        <v>19</v>
      </c>
      <c r="D1017" t="s">
        <v>130</v>
      </c>
      <c r="E1017" t="s">
        <v>21</v>
      </c>
      <c r="F1017" t="s">
        <v>79</v>
      </c>
      <c r="G1017" t="s">
        <v>85</v>
      </c>
      <c r="H1017" t="s">
        <v>111</v>
      </c>
      <c r="I1017" t="s">
        <v>42</v>
      </c>
      <c r="J1017" t="s">
        <v>94</v>
      </c>
      <c r="K1017" t="s">
        <v>36</v>
      </c>
      <c r="L1017">
        <v>757.26</v>
      </c>
      <c r="M1017">
        <v>2</v>
      </c>
      <c r="N1017" s="2">
        <v>0</v>
      </c>
      <c r="O1017">
        <v>1514.52</v>
      </c>
      <c r="P1017">
        <v>0</v>
      </c>
      <c r="Q1017">
        <f>Sheet1__3_1_1_1[[#This Row],[Gross_Revenue]]-Sheet1__3_1_1_1[[#This Row],[Discount_Amount]]</f>
        <v>1514.52</v>
      </c>
      <c r="R1017">
        <v>939</v>
      </c>
      <c r="S1017">
        <f>Sheet1__3_1_1_1[[#This Row],[Net_Revenue]]-Sheet1__3_1_1_1[[#This Row],[COGS]]</f>
        <v>575.52</v>
      </c>
    </row>
    <row r="1018" spans="1:19" x14ac:dyDescent="0.25">
      <c r="A1018" t="s">
        <v>1113</v>
      </c>
      <c r="B1018" s="1">
        <v>44910</v>
      </c>
      <c r="C1018" t="s">
        <v>44</v>
      </c>
      <c r="D1018" t="s">
        <v>45</v>
      </c>
      <c r="E1018" t="s">
        <v>63</v>
      </c>
      <c r="F1018" t="s">
        <v>55</v>
      </c>
      <c r="G1018" t="s">
        <v>67</v>
      </c>
      <c r="H1018" t="s">
        <v>106</v>
      </c>
      <c r="I1018" t="s">
        <v>34</v>
      </c>
      <c r="J1018" t="s">
        <v>26</v>
      </c>
      <c r="K1018" t="s">
        <v>27</v>
      </c>
      <c r="L1018">
        <v>68.569999999999993</v>
      </c>
      <c r="M1018">
        <v>4</v>
      </c>
      <c r="N1018" s="2">
        <v>0.05</v>
      </c>
      <c r="O1018">
        <v>274.27999999999997</v>
      </c>
      <c r="P1018">
        <v>13.713999999999999</v>
      </c>
      <c r="Q1018">
        <f>Sheet1__3_1_1_1[[#This Row],[Gross_Revenue]]-Sheet1__3_1_1_1[[#This Row],[Discount_Amount]]</f>
        <v>260.56599999999997</v>
      </c>
      <c r="R1018">
        <v>109.44</v>
      </c>
      <c r="S1018">
        <f>Sheet1__3_1_1_1[[#This Row],[Net_Revenue]]-Sheet1__3_1_1_1[[#This Row],[COGS]]</f>
        <v>151.12599999999998</v>
      </c>
    </row>
    <row r="1019" spans="1:19" x14ac:dyDescent="0.25">
      <c r="A1019" t="s">
        <v>1114</v>
      </c>
      <c r="B1019" s="1">
        <v>45141</v>
      </c>
      <c r="C1019" t="s">
        <v>19</v>
      </c>
      <c r="D1019" t="s">
        <v>91</v>
      </c>
      <c r="E1019" t="s">
        <v>39</v>
      </c>
      <c r="F1019" t="s">
        <v>55</v>
      </c>
      <c r="G1019" t="s">
        <v>67</v>
      </c>
      <c r="H1019" t="s">
        <v>106</v>
      </c>
      <c r="I1019" t="s">
        <v>34</v>
      </c>
      <c r="J1019" t="s">
        <v>94</v>
      </c>
      <c r="K1019" t="s">
        <v>27</v>
      </c>
      <c r="L1019">
        <v>83</v>
      </c>
      <c r="M1019">
        <v>2</v>
      </c>
      <c r="N1019" s="2">
        <v>0</v>
      </c>
      <c r="O1019">
        <v>166</v>
      </c>
      <c r="P1019">
        <v>0</v>
      </c>
      <c r="Q1019">
        <f>Sheet1__3_1_1_1[[#This Row],[Gross_Revenue]]-Sheet1__3_1_1_1[[#This Row],[Discount_Amount]]</f>
        <v>166</v>
      </c>
      <c r="R1019">
        <v>69.72</v>
      </c>
      <c r="S1019">
        <f>Sheet1__3_1_1_1[[#This Row],[Net_Revenue]]-Sheet1__3_1_1_1[[#This Row],[COGS]]</f>
        <v>96.28</v>
      </c>
    </row>
    <row r="1020" spans="1:19" x14ac:dyDescent="0.25">
      <c r="A1020" t="s">
        <v>1115</v>
      </c>
      <c r="B1020" s="1">
        <v>45062</v>
      </c>
      <c r="C1020" t="s">
        <v>19</v>
      </c>
      <c r="D1020" t="s">
        <v>91</v>
      </c>
      <c r="E1020" t="s">
        <v>66</v>
      </c>
      <c r="F1020" t="s">
        <v>55</v>
      </c>
      <c r="G1020" t="s">
        <v>120</v>
      </c>
      <c r="H1020" t="s">
        <v>52</v>
      </c>
      <c r="I1020" t="s">
        <v>34</v>
      </c>
      <c r="J1020" t="s">
        <v>49</v>
      </c>
      <c r="K1020" t="s">
        <v>36</v>
      </c>
      <c r="L1020">
        <v>108.91</v>
      </c>
      <c r="M1020">
        <v>5</v>
      </c>
      <c r="N1020" s="2">
        <v>0.2</v>
      </c>
      <c r="O1020">
        <v>544.54999999999995</v>
      </c>
      <c r="P1020">
        <v>108.91</v>
      </c>
      <c r="Q1020">
        <f>Sheet1__3_1_1_1[[#This Row],[Gross_Revenue]]-Sheet1__3_1_1_1[[#This Row],[Discount_Amount]]</f>
        <v>435.64</v>
      </c>
      <c r="R1020">
        <v>182.97</v>
      </c>
      <c r="S1020">
        <f>Sheet1__3_1_1_1[[#This Row],[Net_Revenue]]-Sheet1__3_1_1_1[[#This Row],[COGS]]</f>
        <v>252.67</v>
      </c>
    </row>
    <row r="1021" spans="1:19" x14ac:dyDescent="0.25">
      <c r="A1021" t="s">
        <v>1116</v>
      </c>
      <c r="B1021" s="1">
        <v>45107</v>
      </c>
      <c r="C1021" t="s">
        <v>77</v>
      </c>
      <c r="D1021" t="s">
        <v>110</v>
      </c>
      <c r="E1021" t="s">
        <v>21</v>
      </c>
      <c r="F1021" t="s">
        <v>69</v>
      </c>
      <c r="G1021" t="s">
        <v>70</v>
      </c>
      <c r="H1021" t="s">
        <v>87</v>
      </c>
      <c r="I1021" t="s">
        <v>34</v>
      </c>
      <c r="J1021" t="s">
        <v>49</v>
      </c>
      <c r="K1021" t="s">
        <v>143</v>
      </c>
      <c r="L1021">
        <v>376.22</v>
      </c>
      <c r="M1021">
        <v>9</v>
      </c>
      <c r="N1021" s="2">
        <v>0.15</v>
      </c>
      <c r="O1021">
        <v>3385.9800000000005</v>
      </c>
      <c r="P1021">
        <v>507.89700000000005</v>
      </c>
      <c r="Q1021">
        <f>Sheet1__3_1_1_1[[#This Row],[Gross_Revenue]]-Sheet1__3_1_1_1[[#This Row],[Discount_Amount]]</f>
        <v>2878.0830000000005</v>
      </c>
      <c r="R1021">
        <v>1093.67</v>
      </c>
      <c r="S1021">
        <f>Sheet1__3_1_1_1[[#This Row],[Net_Revenue]]-Sheet1__3_1_1_1[[#This Row],[COGS]]</f>
        <v>1784.4130000000005</v>
      </c>
    </row>
    <row r="1022" spans="1:19" x14ac:dyDescent="0.25">
      <c r="A1022" t="s">
        <v>1117</v>
      </c>
      <c r="B1022" s="1">
        <v>45036</v>
      </c>
      <c r="C1022" t="s">
        <v>29</v>
      </c>
      <c r="D1022" t="s">
        <v>62</v>
      </c>
      <c r="E1022" t="s">
        <v>21</v>
      </c>
      <c r="F1022" t="s">
        <v>31</v>
      </c>
      <c r="G1022" t="s">
        <v>122</v>
      </c>
      <c r="H1022" t="s">
        <v>71</v>
      </c>
      <c r="I1022" t="s">
        <v>60</v>
      </c>
      <c r="J1022" t="s">
        <v>89</v>
      </c>
      <c r="K1022" t="s">
        <v>36</v>
      </c>
      <c r="L1022">
        <v>384.72</v>
      </c>
      <c r="M1022">
        <v>3</v>
      </c>
      <c r="N1022" s="2">
        <v>0.2</v>
      </c>
      <c r="O1022">
        <v>1154.1600000000001</v>
      </c>
      <c r="P1022">
        <v>230.83200000000002</v>
      </c>
      <c r="Q1022">
        <f>Sheet1__3_1_1_1[[#This Row],[Gross_Revenue]]-Sheet1__3_1_1_1[[#This Row],[Discount_Amount]]</f>
        <v>923.32800000000009</v>
      </c>
      <c r="R1022">
        <v>443.2</v>
      </c>
      <c r="S1022">
        <f>Sheet1__3_1_1_1[[#This Row],[Net_Revenue]]-Sheet1__3_1_1_1[[#This Row],[COGS]]</f>
        <v>480.1280000000001</v>
      </c>
    </row>
    <row r="1023" spans="1:19" x14ac:dyDescent="0.25">
      <c r="A1023" t="s">
        <v>1118</v>
      </c>
      <c r="B1023" s="1">
        <v>44691</v>
      </c>
      <c r="C1023" t="s">
        <v>44</v>
      </c>
      <c r="D1023" t="s">
        <v>51</v>
      </c>
      <c r="E1023" t="s">
        <v>21</v>
      </c>
      <c r="F1023" t="s">
        <v>69</v>
      </c>
      <c r="G1023" t="s">
        <v>126</v>
      </c>
      <c r="H1023" t="s">
        <v>24</v>
      </c>
      <c r="I1023" t="s">
        <v>48</v>
      </c>
      <c r="J1023" t="s">
        <v>89</v>
      </c>
      <c r="K1023" t="s">
        <v>36</v>
      </c>
      <c r="L1023" t="s">
        <v>1147</v>
      </c>
      <c r="M1023">
        <v>6</v>
      </c>
      <c r="N1023" s="2">
        <v>0</v>
      </c>
      <c r="O1023">
        <v>0</v>
      </c>
      <c r="P1023">
        <v>0</v>
      </c>
      <c r="Q1023">
        <f>Sheet1__3_1_1_1[[#This Row],[Gross_Revenue]]-Sheet1__3_1_1_1[[#This Row],[Discount_Amount]]</f>
        <v>0</v>
      </c>
      <c r="R1023" t="s">
        <v>1147</v>
      </c>
      <c r="S1023" t="e">
        <f>Sheet1__3_1_1_1[[#This Row],[Net_Revenue]]-Sheet1__3_1_1_1[[#This Row],[COGS]]</f>
        <v>#VALUE!</v>
      </c>
    </row>
    <row r="1024" spans="1:19" x14ac:dyDescent="0.25">
      <c r="A1024" t="s">
        <v>1119</v>
      </c>
      <c r="B1024" s="1">
        <v>45194</v>
      </c>
      <c r="C1024" t="s">
        <v>44</v>
      </c>
      <c r="D1024" t="s">
        <v>45</v>
      </c>
      <c r="E1024" t="s">
        <v>63</v>
      </c>
      <c r="F1024" t="s">
        <v>55</v>
      </c>
      <c r="G1024" t="s">
        <v>83</v>
      </c>
      <c r="H1024" t="s">
        <v>111</v>
      </c>
      <c r="I1024" t="s">
        <v>48</v>
      </c>
      <c r="J1024" t="s">
        <v>89</v>
      </c>
      <c r="K1024" t="s">
        <v>53</v>
      </c>
      <c r="L1024">
        <v>47.12</v>
      </c>
      <c r="N1024" s="2">
        <v>0.1</v>
      </c>
      <c r="O1024">
        <v>0</v>
      </c>
      <c r="P1024">
        <v>0</v>
      </c>
      <c r="Q1024">
        <f>Sheet1__3_1_1_1[[#This Row],[Gross_Revenue]]-Sheet1__3_1_1_1[[#This Row],[Discount_Amount]]</f>
        <v>0</v>
      </c>
      <c r="R1024" t="s">
        <v>1147</v>
      </c>
      <c r="S1024" t="e">
        <f>Sheet1__3_1_1_1[[#This Row],[Net_Revenue]]-Sheet1__3_1_1_1[[#This Row],[COGS]]</f>
        <v>#VALUE!</v>
      </c>
    </row>
    <row r="1025" spans="1:19" x14ac:dyDescent="0.25">
      <c r="A1025" t="s">
        <v>1120</v>
      </c>
      <c r="B1025" s="1">
        <v>45017</v>
      </c>
      <c r="C1025" t="s">
        <v>19</v>
      </c>
      <c r="D1025" t="s">
        <v>20</v>
      </c>
      <c r="E1025" t="s">
        <v>63</v>
      </c>
      <c r="F1025" t="s">
        <v>22</v>
      </c>
      <c r="G1025" t="s">
        <v>75</v>
      </c>
      <c r="H1025" t="s">
        <v>108</v>
      </c>
      <c r="I1025" t="s">
        <v>25</v>
      </c>
      <c r="J1025" t="s">
        <v>35</v>
      </c>
      <c r="K1025" t="s">
        <v>36</v>
      </c>
      <c r="L1025">
        <v>9</v>
      </c>
      <c r="M1025">
        <v>8</v>
      </c>
      <c r="N1025" s="2">
        <v>0.15</v>
      </c>
      <c r="O1025">
        <v>72</v>
      </c>
      <c r="P1025">
        <v>10.799999999999999</v>
      </c>
      <c r="Q1025">
        <f>Sheet1__3_1_1_1[[#This Row],[Gross_Revenue]]-Sheet1__3_1_1_1[[#This Row],[Discount_Amount]]</f>
        <v>61.2</v>
      </c>
      <c r="R1025">
        <v>33.659999999999997</v>
      </c>
      <c r="S1025">
        <f>Sheet1__3_1_1_1[[#This Row],[Net_Revenue]]-Sheet1__3_1_1_1[[#This Row],[COGS]]</f>
        <v>27.540000000000006</v>
      </c>
    </row>
    <row r="1026" spans="1:19" x14ac:dyDescent="0.25">
      <c r="A1026" t="s">
        <v>1121</v>
      </c>
      <c r="B1026" s="1">
        <v>44942</v>
      </c>
      <c r="C1026" t="s">
        <v>29</v>
      </c>
      <c r="D1026" t="s">
        <v>62</v>
      </c>
      <c r="E1026" t="s">
        <v>39</v>
      </c>
      <c r="F1026" t="s">
        <v>22</v>
      </c>
      <c r="G1026" t="s">
        <v>149</v>
      </c>
      <c r="H1026" t="s">
        <v>87</v>
      </c>
      <c r="I1026" t="s">
        <v>60</v>
      </c>
      <c r="J1026" t="s">
        <v>26</v>
      </c>
      <c r="K1026" t="s">
        <v>36</v>
      </c>
      <c r="L1026">
        <v>24.62</v>
      </c>
      <c r="M1026">
        <v>26</v>
      </c>
      <c r="N1026" s="2">
        <v>0.1</v>
      </c>
      <c r="O1026">
        <v>640.12</v>
      </c>
      <c r="P1026">
        <v>64.012</v>
      </c>
      <c r="Q1026">
        <f>Sheet1__3_1_1_1[[#This Row],[Gross_Revenue]]-Sheet1__3_1_1_1[[#This Row],[Discount_Amount]]</f>
        <v>576.10799999999995</v>
      </c>
      <c r="R1026">
        <v>316.86</v>
      </c>
      <c r="S1026">
        <f>Sheet1__3_1_1_1[[#This Row],[Net_Revenue]]-Sheet1__3_1_1_1[[#This Row],[COGS]]</f>
        <v>259.24799999999993</v>
      </c>
    </row>
    <row r="1027" spans="1:19" x14ac:dyDescent="0.25">
      <c r="A1027" t="s">
        <v>1122</v>
      </c>
      <c r="B1027" s="1">
        <v>44802</v>
      </c>
      <c r="C1027" t="s">
        <v>19</v>
      </c>
      <c r="D1027" t="s">
        <v>20</v>
      </c>
      <c r="E1027" t="s">
        <v>63</v>
      </c>
      <c r="F1027" t="s">
        <v>79</v>
      </c>
      <c r="G1027" t="s">
        <v>85</v>
      </c>
      <c r="H1027" t="s">
        <v>71</v>
      </c>
      <c r="I1027" t="s">
        <v>34</v>
      </c>
      <c r="J1027" t="s">
        <v>26</v>
      </c>
      <c r="K1027" t="s">
        <v>36</v>
      </c>
      <c r="L1027">
        <v>905.56</v>
      </c>
      <c r="M1027">
        <v>1</v>
      </c>
      <c r="N1027" s="2">
        <v>0.05</v>
      </c>
      <c r="O1027">
        <v>905.56</v>
      </c>
      <c r="P1027">
        <v>45.277999999999999</v>
      </c>
      <c r="Q1027">
        <f>Sheet1__3_1_1_1[[#This Row],[Gross_Revenue]]-Sheet1__3_1_1_1[[#This Row],[Discount_Amount]]</f>
        <v>860.28199999999993</v>
      </c>
      <c r="R1027">
        <v>533.37</v>
      </c>
      <c r="S1027">
        <f>Sheet1__3_1_1_1[[#This Row],[Net_Revenue]]-Sheet1__3_1_1_1[[#This Row],[COGS]]</f>
        <v>326.91199999999992</v>
      </c>
    </row>
    <row r="1028" spans="1:19" x14ac:dyDescent="0.25">
      <c r="A1028" t="s">
        <v>1123</v>
      </c>
      <c r="B1028" s="1">
        <v>45243</v>
      </c>
      <c r="C1028" t="s">
        <v>77</v>
      </c>
      <c r="D1028" t="s">
        <v>82</v>
      </c>
      <c r="E1028" t="s">
        <v>66</v>
      </c>
      <c r="F1028" t="s">
        <v>31</v>
      </c>
      <c r="G1028" t="s">
        <v>32</v>
      </c>
      <c r="H1028" t="s">
        <v>47</v>
      </c>
      <c r="I1028" t="s">
        <v>25</v>
      </c>
      <c r="J1028" t="s">
        <v>89</v>
      </c>
      <c r="K1028" t="s">
        <v>36</v>
      </c>
      <c r="L1028">
        <v>404.15</v>
      </c>
      <c r="M1028">
        <v>8</v>
      </c>
      <c r="N1028" s="2">
        <v>0</v>
      </c>
      <c r="O1028">
        <v>3233.2</v>
      </c>
      <c r="P1028">
        <v>0</v>
      </c>
      <c r="Q1028">
        <f>Sheet1__3_1_1_1[[#This Row],[Gross_Revenue]]-Sheet1__3_1_1_1[[#This Row],[Discount_Amount]]</f>
        <v>3233.2</v>
      </c>
      <c r="R1028">
        <v>1551.94</v>
      </c>
      <c r="S1028">
        <f>Sheet1__3_1_1_1[[#This Row],[Net_Revenue]]-Sheet1__3_1_1_1[[#This Row],[COGS]]</f>
        <v>1681.2599999999998</v>
      </c>
    </row>
    <row r="1029" spans="1:19" x14ac:dyDescent="0.25">
      <c r="A1029" t="s">
        <v>1124</v>
      </c>
      <c r="B1029" s="1">
        <v>44618</v>
      </c>
      <c r="C1029" t="s">
        <v>19</v>
      </c>
      <c r="D1029" t="s">
        <v>91</v>
      </c>
      <c r="E1029" t="s">
        <v>21</v>
      </c>
      <c r="F1029" t="s">
        <v>31</v>
      </c>
      <c r="G1029" t="s">
        <v>40</v>
      </c>
      <c r="H1029" t="s">
        <v>52</v>
      </c>
      <c r="I1029" t="s">
        <v>48</v>
      </c>
      <c r="J1029" t="s">
        <v>89</v>
      </c>
      <c r="K1029" t="s">
        <v>36</v>
      </c>
      <c r="L1029">
        <v>267.99</v>
      </c>
      <c r="M1029">
        <v>1</v>
      </c>
      <c r="N1029" s="2">
        <v>0</v>
      </c>
      <c r="O1029">
        <v>267.99</v>
      </c>
      <c r="P1029">
        <v>0</v>
      </c>
      <c r="Q1029">
        <f>Sheet1__3_1_1_1[[#This Row],[Gross_Revenue]]-Sheet1__3_1_1_1[[#This Row],[Discount_Amount]]</f>
        <v>267.99</v>
      </c>
      <c r="R1029">
        <v>128.63999999999999</v>
      </c>
      <c r="S1029">
        <f>Sheet1__3_1_1_1[[#This Row],[Net_Revenue]]-Sheet1__3_1_1_1[[#This Row],[COGS]]</f>
        <v>139.35000000000002</v>
      </c>
    </row>
    <row r="1030" spans="1:19" x14ac:dyDescent="0.25">
      <c r="A1030" t="s">
        <v>1125</v>
      </c>
      <c r="B1030" s="1">
        <v>44714</v>
      </c>
      <c r="C1030" t="s">
        <v>77</v>
      </c>
      <c r="D1030" t="s">
        <v>78</v>
      </c>
      <c r="E1030" t="s">
        <v>21</v>
      </c>
      <c r="F1030" t="s">
        <v>31</v>
      </c>
      <c r="G1030" t="s">
        <v>32</v>
      </c>
      <c r="H1030" t="s">
        <v>52</v>
      </c>
      <c r="I1030" t="s">
        <v>34</v>
      </c>
      <c r="J1030" t="s">
        <v>49</v>
      </c>
      <c r="K1030" t="s">
        <v>143</v>
      </c>
      <c r="L1030">
        <v>366.33</v>
      </c>
      <c r="M1030">
        <v>7</v>
      </c>
      <c r="N1030" s="2">
        <v>0</v>
      </c>
      <c r="O1030">
        <v>2564.31</v>
      </c>
      <c r="P1030">
        <v>0</v>
      </c>
      <c r="Q1030">
        <f>Sheet1__3_1_1_1[[#This Row],[Gross_Revenue]]-Sheet1__3_1_1_1[[#This Row],[Discount_Amount]]</f>
        <v>2564.31</v>
      </c>
      <c r="R1030">
        <v>1230.8699999999999</v>
      </c>
      <c r="S1030">
        <f>Sheet1__3_1_1_1[[#This Row],[Net_Revenue]]-Sheet1__3_1_1_1[[#This Row],[COGS]]</f>
        <v>1333.44</v>
      </c>
    </row>
    <row r="1031" spans="1:19" x14ac:dyDescent="0.25">
      <c r="A1031" t="s">
        <v>1126</v>
      </c>
      <c r="B1031" s="1">
        <v>44987</v>
      </c>
      <c r="C1031" t="s">
        <v>44</v>
      </c>
      <c r="D1031" t="s">
        <v>45</v>
      </c>
      <c r="E1031" t="s">
        <v>39</v>
      </c>
      <c r="F1031" t="s">
        <v>31</v>
      </c>
      <c r="G1031" t="s">
        <v>122</v>
      </c>
      <c r="H1031" t="s">
        <v>52</v>
      </c>
      <c r="I1031" t="s">
        <v>34</v>
      </c>
      <c r="J1031" t="s">
        <v>26</v>
      </c>
      <c r="K1031" t="s">
        <v>53</v>
      </c>
      <c r="L1031">
        <v>544.41999999999996</v>
      </c>
      <c r="M1031">
        <v>5</v>
      </c>
      <c r="N1031" s="2">
        <v>0</v>
      </c>
      <c r="O1031">
        <v>2722.1</v>
      </c>
      <c r="P1031">
        <v>0</v>
      </c>
      <c r="Q1031">
        <f>Sheet1__3_1_1_1[[#This Row],[Gross_Revenue]]-Sheet1__3_1_1_1[[#This Row],[Discount_Amount]]</f>
        <v>2722.1</v>
      </c>
      <c r="R1031">
        <v>1306.6099999999999</v>
      </c>
      <c r="S1031">
        <f>Sheet1__3_1_1_1[[#This Row],[Net_Revenue]]-Sheet1__3_1_1_1[[#This Row],[COGS]]</f>
        <v>1415.49</v>
      </c>
    </row>
    <row r="1032" spans="1:19" x14ac:dyDescent="0.25">
      <c r="A1032" t="s">
        <v>1127</v>
      </c>
      <c r="B1032" s="1">
        <v>44969</v>
      </c>
      <c r="C1032" t="s">
        <v>99</v>
      </c>
      <c r="D1032" t="s">
        <v>100</v>
      </c>
      <c r="E1032" t="s">
        <v>39</v>
      </c>
      <c r="F1032" t="s">
        <v>79</v>
      </c>
      <c r="G1032" t="s">
        <v>80</v>
      </c>
      <c r="H1032" t="s">
        <v>108</v>
      </c>
      <c r="I1032" t="s">
        <v>60</v>
      </c>
      <c r="J1032" t="s">
        <v>49</v>
      </c>
      <c r="K1032" t="s">
        <v>36</v>
      </c>
      <c r="L1032">
        <v>698.66</v>
      </c>
      <c r="M1032">
        <v>1</v>
      </c>
      <c r="N1032" s="2">
        <v>0</v>
      </c>
      <c r="O1032">
        <v>698.66</v>
      </c>
      <c r="P1032">
        <v>0</v>
      </c>
      <c r="Q1032">
        <f>Sheet1__3_1_1_1[[#This Row],[Gross_Revenue]]-Sheet1__3_1_1_1[[#This Row],[Discount_Amount]]</f>
        <v>698.66</v>
      </c>
      <c r="R1032">
        <v>433.17</v>
      </c>
      <c r="S1032">
        <f>Sheet1__3_1_1_1[[#This Row],[Net_Revenue]]-Sheet1__3_1_1_1[[#This Row],[COGS]]</f>
        <v>265.48999999999995</v>
      </c>
    </row>
    <row r="1033" spans="1:19" x14ac:dyDescent="0.25">
      <c r="A1033" t="s">
        <v>1128</v>
      </c>
      <c r="B1033" s="1">
        <v>44856</v>
      </c>
      <c r="C1033" t="s">
        <v>77</v>
      </c>
      <c r="D1033" t="s">
        <v>110</v>
      </c>
      <c r="E1033" t="s">
        <v>66</v>
      </c>
      <c r="F1033" t="s">
        <v>55</v>
      </c>
      <c r="G1033" t="s">
        <v>83</v>
      </c>
      <c r="H1033" t="s">
        <v>111</v>
      </c>
      <c r="I1033" t="s">
        <v>48</v>
      </c>
      <c r="J1033" t="s">
        <v>35</v>
      </c>
      <c r="K1033" t="s">
        <v>143</v>
      </c>
      <c r="L1033">
        <v>53.59</v>
      </c>
      <c r="M1033">
        <v>1</v>
      </c>
      <c r="N1033" s="2">
        <v>0.1</v>
      </c>
      <c r="O1033">
        <v>53.59</v>
      </c>
      <c r="P1033">
        <v>5.3590000000000009</v>
      </c>
      <c r="Q1033">
        <f>Sheet1__3_1_1_1[[#This Row],[Gross_Revenue]]-Sheet1__3_1_1_1[[#This Row],[Discount_Amount]]</f>
        <v>48.231000000000002</v>
      </c>
      <c r="R1033">
        <v>20.260000000000002</v>
      </c>
      <c r="S1033">
        <f>Sheet1__3_1_1_1[[#This Row],[Net_Revenue]]-Sheet1__3_1_1_1[[#This Row],[COGS]]</f>
        <v>27.971</v>
      </c>
    </row>
    <row r="1034" spans="1:19" x14ac:dyDescent="0.25">
      <c r="A1034" t="s">
        <v>1129</v>
      </c>
      <c r="B1034" s="1">
        <v>45103</v>
      </c>
      <c r="C1034" t="s">
        <v>99</v>
      </c>
      <c r="D1034" t="s">
        <v>132</v>
      </c>
      <c r="E1034" t="s">
        <v>66</v>
      </c>
      <c r="F1034" t="s">
        <v>22</v>
      </c>
      <c r="G1034" t="s">
        <v>149</v>
      </c>
      <c r="H1034" t="s">
        <v>52</v>
      </c>
      <c r="I1034" t="s">
        <v>34</v>
      </c>
      <c r="J1034" t="s">
        <v>35</v>
      </c>
      <c r="K1034" t="s">
        <v>36</v>
      </c>
      <c r="L1034">
        <v>26.56</v>
      </c>
      <c r="M1034">
        <v>12</v>
      </c>
      <c r="N1034" s="2">
        <v>0.2</v>
      </c>
      <c r="O1034">
        <v>318.71999999999997</v>
      </c>
      <c r="P1034">
        <v>63.744</v>
      </c>
      <c r="Q1034">
        <f>Sheet1__3_1_1_1[[#This Row],[Gross_Revenue]]-Sheet1__3_1_1_1[[#This Row],[Discount_Amount]]</f>
        <v>254.97599999999997</v>
      </c>
      <c r="R1034">
        <v>140.24</v>
      </c>
      <c r="S1034">
        <f>Sheet1__3_1_1_1[[#This Row],[Net_Revenue]]-Sheet1__3_1_1_1[[#This Row],[COGS]]</f>
        <v>114.73599999999996</v>
      </c>
    </row>
    <row r="1035" spans="1:19" x14ac:dyDescent="0.25">
      <c r="A1035" t="s">
        <v>1130</v>
      </c>
      <c r="B1035" s="1">
        <v>45088</v>
      </c>
      <c r="C1035" t="s">
        <v>29</v>
      </c>
      <c r="D1035" t="s">
        <v>62</v>
      </c>
      <c r="E1035" t="s">
        <v>21</v>
      </c>
      <c r="F1035" t="s">
        <v>22</v>
      </c>
      <c r="G1035" t="s">
        <v>75</v>
      </c>
      <c r="H1035" t="s">
        <v>47</v>
      </c>
      <c r="I1035" t="s">
        <v>34</v>
      </c>
      <c r="J1035" t="s">
        <v>35</v>
      </c>
      <c r="K1035" t="s">
        <v>53</v>
      </c>
      <c r="L1035">
        <v>11.14</v>
      </c>
      <c r="M1035">
        <v>15</v>
      </c>
      <c r="N1035" s="2">
        <v>0.15</v>
      </c>
      <c r="O1035">
        <v>167.10000000000002</v>
      </c>
      <c r="P1035">
        <v>25.065000000000001</v>
      </c>
      <c r="Q1035">
        <f>Sheet1__3_1_1_1[[#This Row],[Gross_Revenue]]-Sheet1__3_1_1_1[[#This Row],[Discount_Amount]]</f>
        <v>142.03500000000003</v>
      </c>
      <c r="R1035">
        <v>78.12</v>
      </c>
      <c r="S1035">
        <f>Sheet1__3_1_1_1[[#This Row],[Net_Revenue]]-Sheet1__3_1_1_1[[#This Row],[COGS]]</f>
        <v>63.91500000000002</v>
      </c>
    </row>
    <row r="1036" spans="1:19" x14ac:dyDescent="0.25">
      <c r="A1036" t="s">
        <v>1131</v>
      </c>
      <c r="B1036" s="1">
        <v>44889</v>
      </c>
      <c r="C1036" t="s">
        <v>44</v>
      </c>
      <c r="D1036" t="s">
        <v>45</v>
      </c>
      <c r="E1036" t="s">
        <v>66</v>
      </c>
      <c r="F1036" t="s">
        <v>79</v>
      </c>
      <c r="G1036" t="s">
        <v>96</v>
      </c>
      <c r="H1036" t="s">
        <v>33</v>
      </c>
      <c r="I1036" t="s">
        <v>60</v>
      </c>
      <c r="J1036" t="s">
        <v>89</v>
      </c>
      <c r="K1036" t="s">
        <v>143</v>
      </c>
      <c r="L1036">
        <v>391.8</v>
      </c>
      <c r="M1036">
        <v>4</v>
      </c>
      <c r="N1036" s="2">
        <v>0.2</v>
      </c>
      <c r="O1036">
        <v>1567.2</v>
      </c>
      <c r="P1036">
        <v>313.44000000000005</v>
      </c>
      <c r="Q1036">
        <f>Sheet1__3_1_1_1[[#This Row],[Gross_Revenue]]-Sheet1__3_1_1_1[[#This Row],[Discount_Amount]]</f>
        <v>1253.76</v>
      </c>
      <c r="R1036">
        <v>777.33</v>
      </c>
      <c r="S1036">
        <f>Sheet1__3_1_1_1[[#This Row],[Net_Revenue]]-Sheet1__3_1_1_1[[#This Row],[COGS]]</f>
        <v>476.42999999999995</v>
      </c>
    </row>
    <row r="1037" spans="1:19" x14ac:dyDescent="0.25">
      <c r="A1037" t="s">
        <v>1132</v>
      </c>
      <c r="B1037" s="1">
        <v>44924</v>
      </c>
      <c r="C1037" t="s">
        <v>44</v>
      </c>
      <c r="D1037" t="s">
        <v>51</v>
      </c>
      <c r="E1037" t="s">
        <v>39</v>
      </c>
      <c r="F1037" t="s">
        <v>22</v>
      </c>
      <c r="G1037" t="s">
        <v>149</v>
      </c>
      <c r="H1037" t="s">
        <v>111</v>
      </c>
      <c r="I1037" t="s">
        <v>42</v>
      </c>
      <c r="J1037" t="s">
        <v>89</v>
      </c>
      <c r="K1037" t="s">
        <v>27</v>
      </c>
      <c r="L1037">
        <v>21.36</v>
      </c>
      <c r="M1037">
        <v>13</v>
      </c>
      <c r="N1037" s="2">
        <v>0.15</v>
      </c>
      <c r="O1037">
        <v>277.68</v>
      </c>
      <c r="P1037">
        <v>41.652000000000001</v>
      </c>
      <c r="Q1037">
        <f>Sheet1__3_1_1_1[[#This Row],[Gross_Revenue]]-Sheet1__3_1_1_1[[#This Row],[Discount_Amount]]</f>
        <v>236.02800000000002</v>
      </c>
      <c r="R1037">
        <v>129.82</v>
      </c>
      <c r="S1037">
        <f>Sheet1__3_1_1_1[[#This Row],[Net_Revenue]]-Sheet1__3_1_1_1[[#This Row],[COGS]]</f>
        <v>106.20800000000003</v>
      </c>
    </row>
    <row r="1038" spans="1:19" x14ac:dyDescent="0.25">
      <c r="A1038" t="s">
        <v>1133</v>
      </c>
      <c r="B1038" s="1">
        <v>44862</v>
      </c>
      <c r="C1038" t="s">
        <v>19</v>
      </c>
      <c r="D1038" t="s">
        <v>91</v>
      </c>
      <c r="E1038" t="s">
        <v>63</v>
      </c>
      <c r="F1038" t="s">
        <v>79</v>
      </c>
      <c r="G1038" t="s">
        <v>172</v>
      </c>
      <c r="H1038" t="s">
        <v>106</v>
      </c>
      <c r="I1038" t="s">
        <v>60</v>
      </c>
      <c r="J1038" t="s">
        <v>26</v>
      </c>
      <c r="K1038" t="s">
        <v>143</v>
      </c>
      <c r="L1038">
        <v>428.46</v>
      </c>
      <c r="M1038">
        <v>8</v>
      </c>
      <c r="N1038" s="2">
        <v>0</v>
      </c>
      <c r="O1038">
        <v>3427.68</v>
      </c>
      <c r="P1038">
        <v>0</v>
      </c>
      <c r="Q1038">
        <f>Sheet1__3_1_1_1[[#This Row],[Gross_Revenue]]-Sheet1__3_1_1_1[[#This Row],[Discount_Amount]]</f>
        <v>3427.68</v>
      </c>
      <c r="R1038">
        <v>2125.16</v>
      </c>
      <c r="S1038">
        <f>Sheet1__3_1_1_1[[#This Row],[Net_Revenue]]-Sheet1__3_1_1_1[[#This Row],[COGS]]</f>
        <v>1302.52</v>
      </c>
    </row>
    <row r="1039" spans="1:19" x14ac:dyDescent="0.25">
      <c r="A1039" t="s">
        <v>1134</v>
      </c>
      <c r="B1039" s="1">
        <v>45015</v>
      </c>
      <c r="C1039" t="s">
        <v>19</v>
      </c>
      <c r="D1039" t="s">
        <v>130</v>
      </c>
      <c r="E1039" t="s">
        <v>66</v>
      </c>
      <c r="F1039" t="s">
        <v>55</v>
      </c>
      <c r="G1039" t="s">
        <v>56</v>
      </c>
      <c r="H1039" t="s">
        <v>52</v>
      </c>
      <c r="I1039" t="s">
        <v>34</v>
      </c>
      <c r="J1039" t="s">
        <v>35</v>
      </c>
      <c r="K1039" t="s">
        <v>53</v>
      </c>
      <c r="L1039">
        <v>54.69</v>
      </c>
      <c r="M1039">
        <v>7</v>
      </c>
      <c r="N1039" s="2">
        <v>0.15</v>
      </c>
      <c r="O1039">
        <v>382.83</v>
      </c>
      <c r="P1039">
        <v>57.424499999999995</v>
      </c>
      <c r="Q1039">
        <f>Sheet1__3_1_1_1[[#This Row],[Gross_Revenue]]-Sheet1__3_1_1_1[[#This Row],[Discount_Amount]]</f>
        <v>325.40549999999996</v>
      </c>
      <c r="R1039">
        <v>136.66999999999999</v>
      </c>
      <c r="S1039">
        <f>Sheet1__3_1_1_1[[#This Row],[Net_Revenue]]-Sheet1__3_1_1_1[[#This Row],[COGS]]</f>
        <v>188.73549999999997</v>
      </c>
    </row>
    <row r="1040" spans="1:19" x14ac:dyDescent="0.25">
      <c r="A1040" t="s">
        <v>1135</v>
      </c>
      <c r="B1040" s="1">
        <v>45236</v>
      </c>
      <c r="C1040" t="s">
        <v>44</v>
      </c>
      <c r="D1040" t="s">
        <v>45</v>
      </c>
      <c r="E1040" t="s">
        <v>66</v>
      </c>
      <c r="F1040" t="s">
        <v>31</v>
      </c>
      <c r="G1040" t="s">
        <v>122</v>
      </c>
      <c r="H1040" t="s">
        <v>108</v>
      </c>
      <c r="I1040" t="s">
        <v>42</v>
      </c>
      <c r="J1040" t="s">
        <v>89</v>
      </c>
      <c r="K1040" t="s">
        <v>36</v>
      </c>
      <c r="L1040">
        <v>506.33</v>
      </c>
      <c r="M1040">
        <v>1</v>
      </c>
      <c r="N1040" s="2">
        <v>0</v>
      </c>
      <c r="O1040">
        <v>506.33</v>
      </c>
      <c r="P1040">
        <v>0</v>
      </c>
      <c r="Q1040">
        <f>Sheet1__3_1_1_1[[#This Row],[Gross_Revenue]]-Sheet1__3_1_1_1[[#This Row],[Discount_Amount]]</f>
        <v>506.33</v>
      </c>
      <c r="R1040">
        <v>243.04</v>
      </c>
      <c r="S1040">
        <f>Sheet1__3_1_1_1[[#This Row],[Net_Revenue]]-Sheet1__3_1_1_1[[#This Row],[COGS]]</f>
        <v>263.28999999999996</v>
      </c>
    </row>
    <row r="1041" spans="1:19" x14ac:dyDescent="0.25">
      <c r="A1041" t="s">
        <v>1136</v>
      </c>
      <c r="B1041" s="1">
        <v>44913</v>
      </c>
      <c r="C1041" t="s">
        <v>19</v>
      </c>
      <c r="D1041" t="s">
        <v>130</v>
      </c>
      <c r="E1041" t="s">
        <v>21</v>
      </c>
      <c r="F1041" t="s">
        <v>31</v>
      </c>
      <c r="G1041" t="s">
        <v>32</v>
      </c>
      <c r="H1041" t="s">
        <v>106</v>
      </c>
      <c r="I1041" t="s">
        <v>48</v>
      </c>
      <c r="J1041" t="s">
        <v>89</v>
      </c>
      <c r="K1041" t="s">
        <v>36</v>
      </c>
      <c r="L1041">
        <v>431.2</v>
      </c>
      <c r="M1041">
        <v>4</v>
      </c>
      <c r="N1041" s="2">
        <v>0</v>
      </c>
      <c r="O1041">
        <v>1724.8</v>
      </c>
      <c r="P1041">
        <v>0</v>
      </c>
      <c r="Q1041">
        <f>Sheet1__3_1_1_1[[#This Row],[Gross_Revenue]]-Sheet1__3_1_1_1[[#This Row],[Discount_Amount]]</f>
        <v>1724.8</v>
      </c>
      <c r="R1041">
        <v>827.9</v>
      </c>
      <c r="S1041">
        <f>Sheet1__3_1_1_1[[#This Row],[Net_Revenue]]-Sheet1__3_1_1_1[[#This Row],[COGS]]</f>
        <v>896.9</v>
      </c>
    </row>
    <row r="1042" spans="1:19" x14ac:dyDescent="0.25">
      <c r="A1042" t="s">
        <v>1137</v>
      </c>
      <c r="B1042" s="1">
        <v>45187</v>
      </c>
      <c r="C1042" t="s">
        <v>44</v>
      </c>
      <c r="D1042" t="s">
        <v>65</v>
      </c>
      <c r="E1042" t="s">
        <v>66</v>
      </c>
      <c r="F1042" t="s">
        <v>31</v>
      </c>
      <c r="G1042" t="s">
        <v>122</v>
      </c>
      <c r="H1042" t="s">
        <v>52</v>
      </c>
      <c r="I1042" t="s">
        <v>25</v>
      </c>
      <c r="J1042" t="s">
        <v>49</v>
      </c>
      <c r="K1042" t="s">
        <v>36</v>
      </c>
      <c r="L1042">
        <v>520.44000000000005</v>
      </c>
      <c r="M1042">
        <v>5</v>
      </c>
      <c r="N1042" s="2">
        <v>0.1</v>
      </c>
      <c r="O1042">
        <v>2602.2000000000003</v>
      </c>
      <c r="P1042">
        <v>260.22000000000003</v>
      </c>
      <c r="Q1042">
        <f>Sheet1__3_1_1_1[[#This Row],[Gross_Revenue]]-Sheet1__3_1_1_1[[#This Row],[Discount_Amount]]</f>
        <v>2341.9800000000005</v>
      </c>
      <c r="R1042">
        <v>1124.1500000000001</v>
      </c>
      <c r="S1042">
        <f>Sheet1__3_1_1_1[[#This Row],[Net_Revenue]]-Sheet1__3_1_1_1[[#This Row],[COGS]]</f>
        <v>1217.8300000000004</v>
      </c>
    </row>
    <row r="1043" spans="1:19" x14ac:dyDescent="0.25">
      <c r="A1043" t="s">
        <v>1138</v>
      </c>
      <c r="B1043" s="1">
        <v>45128</v>
      </c>
      <c r="C1043" t="s">
        <v>77</v>
      </c>
      <c r="D1043" t="s">
        <v>78</v>
      </c>
      <c r="E1043" t="s">
        <v>21</v>
      </c>
      <c r="F1043" t="s">
        <v>31</v>
      </c>
      <c r="G1043" t="s">
        <v>122</v>
      </c>
      <c r="H1043" t="s">
        <v>52</v>
      </c>
      <c r="I1043" t="s">
        <v>25</v>
      </c>
      <c r="J1043" t="s">
        <v>49</v>
      </c>
      <c r="K1043" t="s">
        <v>27</v>
      </c>
      <c r="L1043">
        <v>526.15</v>
      </c>
      <c r="M1043">
        <v>2</v>
      </c>
      <c r="N1043" s="2">
        <v>0</v>
      </c>
      <c r="O1043">
        <v>1052.3</v>
      </c>
      <c r="P1043">
        <v>0</v>
      </c>
      <c r="Q1043">
        <f>Sheet1__3_1_1_1[[#This Row],[Gross_Revenue]]-Sheet1__3_1_1_1[[#This Row],[Discount_Amount]]</f>
        <v>1052.3</v>
      </c>
      <c r="R1043">
        <v>505.1</v>
      </c>
      <c r="S1043">
        <f>Sheet1__3_1_1_1[[#This Row],[Net_Revenue]]-Sheet1__3_1_1_1[[#This Row],[COGS]]</f>
        <v>547.19999999999993</v>
      </c>
    </row>
    <row r="1044" spans="1:19" x14ac:dyDescent="0.25">
      <c r="A1044" t="s">
        <v>1139</v>
      </c>
      <c r="B1044" s="1">
        <v>45030</v>
      </c>
      <c r="C1044" t="s">
        <v>99</v>
      </c>
      <c r="D1044" t="s">
        <v>132</v>
      </c>
      <c r="E1044" t="s">
        <v>39</v>
      </c>
      <c r="F1044" t="s">
        <v>22</v>
      </c>
      <c r="G1044" t="s">
        <v>46</v>
      </c>
      <c r="H1044" t="s">
        <v>111</v>
      </c>
      <c r="I1044" t="s">
        <v>34</v>
      </c>
      <c r="J1044" t="s">
        <v>26</v>
      </c>
      <c r="K1044" t="s">
        <v>53</v>
      </c>
      <c r="L1044">
        <v>17.36</v>
      </c>
      <c r="M1044">
        <v>1</v>
      </c>
      <c r="N1044" s="2">
        <v>0.2</v>
      </c>
      <c r="O1044">
        <v>17.36</v>
      </c>
      <c r="P1044">
        <v>3.472</v>
      </c>
      <c r="Q1044">
        <f>Sheet1__3_1_1_1[[#This Row],[Gross_Revenue]]-Sheet1__3_1_1_1[[#This Row],[Discount_Amount]]</f>
        <v>13.888</v>
      </c>
      <c r="R1044">
        <v>7.64</v>
      </c>
      <c r="S1044">
        <f>Sheet1__3_1_1_1[[#This Row],[Net_Revenue]]-Sheet1__3_1_1_1[[#This Row],[COGS]]</f>
        <v>6.2480000000000002</v>
      </c>
    </row>
    <row r="1045" spans="1:19" x14ac:dyDescent="0.25">
      <c r="A1045" t="s">
        <v>1140</v>
      </c>
      <c r="B1045" s="1">
        <v>45246</v>
      </c>
      <c r="C1045" t="s">
        <v>99</v>
      </c>
      <c r="D1045" t="s">
        <v>100</v>
      </c>
      <c r="E1045" t="s">
        <v>21</v>
      </c>
      <c r="F1045" t="s">
        <v>69</v>
      </c>
      <c r="G1045" t="s">
        <v>70</v>
      </c>
      <c r="H1045" t="s">
        <v>108</v>
      </c>
      <c r="I1045" t="s">
        <v>25</v>
      </c>
      <c r="J1045" t="s">
        <v>49</v>
      </c>
      <c r="K1045" t="s">
        <v>36</v>
      </c>
      <c r="L1045">
        <v>285.20999999999998</v>
      </c>
      <c r="M1045">
        <v>17</v>
      </c>
      <c r="N1045" s="2">
        <v>0.15</v>
      </c>
      <c r="O1045">
        <v>4848.57</v>
      </c>
      <c r="P1045">
        <v>727.28549999999996</v>
      </c>
      <c r="Q1045">
        <f>Sheet1__3_1_1_1[[#This Row],[Gross_Revenue]]-Sheet1__3_1_1_1[[#This Row],[Discount_Amount]]</f>
        <v>4121.2844999999998</v>
      </c>
      <c r="R1045">
        <v>1566.09</v>
      </c>
      <c r="S1045">
        <f>Sheet1__3_1_1_1[[#This Row],[Net_Revenue]]-Sheet1__3_1_1_1[[#This Row],[COGS]]</f>
        <v>2555.1944999999996</v>
      </c>
    </row>
    <row r="1046" spans="1:19" x14ac:dyDescent="0.25">
      <c r="A1046" t="s">
        <v>1141</v>
      </c>
      <c r="B1046" s="1">
        <v>45227</v>
      </c>
      <c r="C1046" t="s">
        <v>19</v>
      </c>
      <c r="D1046" t="s">
        <v>130</v>
      </c>
      <c r="E1046" t="s">
        <v>66</v>
      </c>
      <c r="F1046" t="s">
        <v>55</v>
      </c>
      <c r="G1046" t="s">
        <v>120</v>
      </c>
      <c r="H1046" t="s">
        <v>59</v>
      </c>
      <c r="I1046" t="s">
        <v>34</v>
      </c>
      <c r="J1046" t="s">
        <v>49</v>
      </c>
      <c r="K1046" t="s">
        <v>36</v>
      </c>
      <c r="L1046">
        <v>117</v>
      </c>
      <c r="N1046" s="2">
        <v>0.15</v>
      </c>
      <c r="O1046">
        <v>0</v>
      </c>
      <c r="P1046">
        <v>0</v>
      </c>
      <c r="Q1046">
        <f>Sheet1__3_1_1_1[[#This Row],[Gross_Revenue]]-Sheet1__3_1_1_1[[#This Row],[Discount_Amount]]</f>
        <v>0</v>
      </c>
      <c r="R1046" t="s">
        <v>1147</v>
      </c>
      <c r="S1046" t="e">
        <f>Sheet1__3_1_1_1[[#This Row],[Net_Revenue]]-Sheet1__3_1_1_1[[#This Row],[COGS]]</f>
        <v>#VALUE!</v>
      </c>
    </row>
    <row r="1047" spans="1:19" x14ac:dyDescent="0.25">
      <c r="A1047" t="s">
        <v>1142</v>
      </c>
      <c r="B1047" s="1">
        <v>44601</v>
      </c>
      <c r="C1047" t="s">
        <v>77</v>
      </c>
      <c r="D1047" t="s">
        <v>78</v>
      </c>
      <c r="E1047" t="s">
        <v>39</v>
      </c>
      <c r="F1047" t="s">
        <v>31</v>
      </c>
      <c r="G1047" t="s">
        <v>122</v>
      </c>
      <c r="H1047" t="s">
        <v>108</v>
      </c>
      <c r="I1047" t="s">
        <v>60</v>
      </c>
      <c r="J1047" t="s">
        <v>89</v>
      </c>
      <c r="K1047" t="s">
        <v>53</v>
      </c>
      <c r="L1047">
        <v>384.17</v>
      </c>
      <c r="M1047">
        <v>2</v>
      </c>
      <c r="N1047" s="2">
        <v>0.05</v>
      </c>
      <c r="O1047">
        <v>768.34</v>
      </c>
      <c r="P1047">
        <v>38.417000000000002</v>
      </c>
      <c r="Q1047">
        <f>Sheet1__3_1_1_1[[#This Row],[Gross_Revenue]]-Sheet1__3_1_1_1[[#This Row],[Discount_Amount]]</f>
        <v>729.923</v>
      </c>
      <c r="R1047">
        <v>350.36</v>
      </c>
      <c r="S1047">
        <f>Sheet1__3_1_1_1[[#This Row],[Net_Revenue]]-Sheet1__3_1_1_1[[#This Row],[COGS]]</f>
        <v>379.56299999999999</v>
      </c>
    </row>
    <row r="1048" spans="1:19" x14ac:dyDescent="0.25">
      <c r="A1048" t="s">
        <v>1143</v>
      </c>
      <c r="B1048" s="1">
        <v>45143</v>
      </c>
      <c r="C1048" t="s">
        <v>19</v>
      </c>
      <c r="D1048" t="s">
        <v>20</v>
      </c>
      <c r="E1048" t="s">
        <v>66</v>
      </c>
      <c r="F1048" t="s">
        <v>79</v>
      </c>
      <c r="G1048" t="s">
        <v>80</v>
      </c>
      <c r="H1048" t="s">
        <v>57</v>
      </c>
      <c r="I1048" t="s">
        <v>48</v>
      </c>
      <c r="J1048" t="s">
        <v>26</v>
      </c>
      <c r="K1048" t="s">
        <v>36</v>
      </c>
      <c r="L1048">
        <v>721.24</v>
      </c>
      <c r="M1048">
        <v>6</v>
      </c>
      <c r="N1048" s="2">
        <v>0.15</v>
      </c>
      <c r="O1048">
        <v>4327.4400000000005</v>
      </c>
      <c r="P1048">
        <v>649.1160000000001</v>
      </c>
      <c r="Q1048">
        <f>Sheet1__3_1_1_1[[#This Row],[Gross_Revenue]]-Sheet1__3_1_1_1[[#This Row],[Discount_Amount]]</f>
        <v>3678.3240000000005</v>
      </c>
      <c r="R1048">
        <v>2280.56</v>
      </c>
      <c r="S1048">
        <f>Sheet1__3_1_1_1[[#This Row],[Net_Revenue]]-Sheet1__3_1_1_1[[#This Row],[COGS]]</f>
        <v>1397.7640000000006</v>
      </c>
    </row>
    <row r="1049" spans="1:19" x14ac:dyDescent="0.25">
      <c r="A1049" t="s">
        <v>1144</v>
      </c>
      <c r="B1049" s="1">
        <v>44768</v>
      </c>
      <c r="C1049" t="s">
        <v>19</v>
      </c>
      <c r="D1049" t="s">
        <v>20</v>
      </c>
      <c r="E1049" t="s">
        <v>63</v>
      </c>
      <c r="F1049" t="s">
        <v>55</v>
      </c>
      <c r="G1049" t="s">
        <v>103</v>
      </c>
      <c r="H1049" t="s">
        <v>47</v>
      </c>
      <c r="I1049" t="s">
        <v>42</v>
      </c>
      <c r="J1049" t="s">
        <v>89</v>
      </c>
      <c r="K1049" t="s">
        <v>36</v>
      </c>
      <c r="L1049">
        <v>196.97</v>
      </c>
      <c r="M1049">
        <v>1</v>
      </c>
      <c r="N1049" s="2">
        <v>0.05</v>
      </c>
      <c r="O1049">
        <v>196.97</v>
      </c>
      <c r="P1049">
        <v>9.8485000000000014</v>
      </c>
      <c r="Q1049">
        <f>Sheet1__3_1_1_1[[#This Row],[Gross_Revenue]]-Sheet1__3_1_1_1[[#This Row],[Discount_Amount]]</f>
        <v>187.1215</v>
      </c>
      <c r="R1049">
        <v>78.59</v>
      </c>
      <c r="S1049">
        <f>Sheet1__3_1_1_1[[#This Row],[Net_Revenue]]-Sheet1__3_1_1_1[[#This Row],[COGS]]</f>
        <v>108.53149999999999</v>
      </c>
    </row>
    <row r="1050" spans="1:19" x14ac:dyDescent="0.25">
      <c r="A1050" t="s">
        <v>1145</v>
      </c>
      <c r="B1050" s="1">
        <v>45151</v>
      </c>
      <c r="C1050" t="s">
        <v>29</v>
      </c>
      <c r="D1050" t="s">
        <v>38</v>
      </c>
      <c r="E1050" t="s">
        <v>63</v>
      </c>
      <c r="F1050" t="s">
        <v>31</v>
      </c>
      <c r="G1050" t="s">
        <v>93</v>
      </c>
      <c r="H1050" t="s">
        <v>33</v>
      </c>
      <c r="I1050" t="s">
        <v>48</v>
      </c>
      <c r="J1050" t="s">
        <v>94</v>
      </c>
      <c r="K1050" t="s">
        <v>53</v>
      </c>
      <c r="L1050">
        <v>138.44999999999999</v>
      </c>
      <c r="M1050">
        <v>8</v>
      </c>
      <c r="N1050" s="2">
        <v>0.2</v>
      </c>
      <c r="O1050">
        <v>1107.5999999999999</v>
      </c>
      <c r="P1050">
        <v>221.51999999999998</v>
      </c>
      <c r="Q1050">
        <f>Sheet1__3_1_1_1[[#This Row],[Gross_Revenue]]-Sheet1__3_1_1_1[[#This Row],[Discount_Amount]]</f>
        <v>886.07999999999993</v>
      </c>
      <c r="R1050">
        <v>425.32</v>
      </c>
      <c r="S1050">
        <f>Sheet1__3_1_1_1[[#This Row],[Net_Revenue]]-Sheet1__3_1_1_1[[#This Row],[COGS]]</f>
        <v>460.75999999999993</v>
      </c>
    </row>
    <row r="1051" spans="1:19" x14ac:dyDescent="0.25">
      <c r="A1051" t="s">
        <v>1146</v>
      </c>
      <c r="B1051" s="1">
        <v>44816</v>
      </c>
      <c r="C1051" t="s">
        <v>77</v>
      </c>
      <c r="D1051" t="s">
        <v>78</v>
      </c>
      <c r="E1051" t="s">
        <v>66</v>
      </c>
      <c r="F1051" t="s">
        <v>55</v>
      </c>
      <c r="G1051" t="s">
        <v>67</v>
      </c>
      <c r="H1051" t="s">
        <v>47</v>
      </c>
      <c r="I1051" t="s">
        <v>48</v>
      </c>
      <c r="J1051" t="s">
        <v>49</v>
      </c>
      <c r="K1051" t="s">
        <v>36</v>
      </c>
      <c r="L1051">
        <v>73.66</v>
      </c>
      <c r="M1051">
        <v>8</v>
      </c>
      <c r="N1051" s="2">
        <v>0.2</v>
      </c>
      <c r="O1051">
        <v>589.28</v>
      </c>
      <c r="P1051">
        <v>117.85599999999999</v>
      </c>
      <c r="Q1051">
        <f>Sheet1__3_1_1_1[[#This Row],[Gross_Revenue]]-Sheet1__3_1_1_1[[#This Row],[Discount_Amount]]</f>
        <v>471.42399999999998</v>
      </c>
      <c r="R1051">
        <v>198</v>
      </c>
      <c r="S1051">
        <f>Sheet1__3_1_1_1[[#This Row],[Net_Revenue]]-Sheet1__3_1_1_1[[#This Row],[COGS]]</f>
        <v>273.42399999999998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FF1B5-E8D3-4EDD-AFE0-8761F701EE31}">
  <dimension ref="A2:B189"/>
  <sheetViews>
    <sheetView topLeftCell="A145" workbookViewId="0">
      <selection activeCell="A154" sqref="A154:B154"/>
    </sheetView>
  </sheetViews>
  <sheetFormatPr defaultRowHeight="15" x14ac:dyDescent="0.25"/>
  <cols>
    <col min="1" max="1" width="13.42578125" bestFit="1" customWidth="1"/>
    <col min="2" max="2" width="17.28515625" bestFit="1" customWidth="1"/>
    <col min="3" max="3" width="20.140625" bestFit="1" customWidth="1"/>
  </cols>
  <sheetData>
    <row r="2" spans="1:2" x14ac:dyDescent="0.25">
      <c r="A2" s="10" t="s">
        <v>1153</v>
      </c>
      <c r="B2" s="10"/>
    </row>
    <row r="3" spans="1:2" x14ac:dyDescent="0.25">
      <c r="A3" s="3" t="s">
        <v>1149</v>
      </c>
      <c r="B3" t="s">
        <v>1151</v>
      </c>
    </row>
    <row r="4" spans="1:2" x14ac:dyDescent="0.25">
      <c r="A4" s="4" t="s">
        <v>111</v>
      </c>
      <c r="B4" s="5">
        <v>83</v>
      </c>
    </row>
    <row r="5" spans="1:2" x14ac:dyDescent="0.25">
      <c r="A5" s="4" t="s">
        <v>108</v>
      </c>
      <c r="B5" s="5">
        <v>88</v>
      </c>
    </row>
    <row r="6" spans="1:2" x14ac:dyDescent="0.25">
      <c r="A6" s="4" t="s">
        <v>87</v>
      </c>
      <c r="B6" s="5">
        <v>74</v>
      </c>
    </row>
    <row r="7" spans="1:2" x14ac:dyDescent="0.25">
      <c r="A7" s="4" t="s">
        <v>47</v>
      </c>
      <c r="B7" s="5">
        <v>87</v>
      </c>
    </row>
    <row r="8" spans="1:2" x14ac:dyDescent="0.25">
      <c r="A8" s="4" t="s">
        <v>52</v>
      </c>
      <c r="B8" s="5">
        <v>95</v>
      </c>
    </row>
    <row r="9" spans="1:2" x14ac:dyDescent="0.25">
      <c r="A9" s="4" t="s">
        <v>33</v>
      </c>
      <c r="B9" s="5">
        <v>90</v>
      </c>
    </row>
    <row r="10" spans="1:2" x14ac:dyDescent="0.25">
      <c r="A10" s="4" t="s">
        <v>57</v>
      </c>
      <c r="B10" s="5">
        <v>90</v>
      </c>
    </row>
    <row r="11" spans="1:2" x14ac:dyDescent="0.25">
      <c r="A11" s="4" t="s">
        <v>106</v>
      </c>
      <c r="B11" s="5">
        <v>88</v>
      </c>
    </row>
    <row r="12" spans="1:2" x14ac:dyDescent="0.25">
      <c r="A12" s="4" t="s">
        <v>24</v>
      </c>
      <c r="B12" s="5">
        <v>99</v>
      </c>
    </row>
    <row r="13" spans="1:2" x14ac:dyDescent="0.25">
      <c r="A13" s="4" t="s">
        <v>41</v>
      </c>
      <c r="B13" s="5">
        <v>86</v>
      </c>
    </row>
    <row r="14" spans="1:2" x14ac:dyDescent="0.25">
      <c r="A14" s="4" t="s">
        <v>71</v>
      </c>
      <c r="B14" s="5">
        <v>71</v>
      </c>
    </row>
    <row r="15" spans="1:2" x14ac:dyDescent="0.25">
      <c r="A15" s="4" t="s">
        <v>59</v>
      </c>
      <c r="B15" s="5">
        <v>99</v>
      </c>
    </row>
    <row r="16" spans="1:2" x14ac:dyDescent="0.25">
      <c r="A16" s="4" t="s">
        <v>1150</v>
      </c>
      <c r="B16" s="5">
        <v>1050</v>
      </c>
    </row>
    <row r="25" spans="1:2" x14ac:dyDescent="0.25">
      <c r="A25" s="10" t="s">
        <v>1160</v>
      </c>
      <c r="B25" s="10"/>
    </row>
    <row r="26" spans="1:2" x14ac:dyDescent="0.25">
      <c r="A26" s="3" t="s">
        <v>1149</v>
      </c>
      <c r="B26" t="s">
        <v>1152</v>
      </c>
    </row>
    <row r="27" spans="1:2" x14ac:dyDescent="0.25">
      <c r="A27" s="4" t="s">
        <v>55</v>
      </c>
      <c r="B27" s="5">
        <v>75008.010999999984</v>
      </c>
    </row>
    <row r="28" spans="1:2" x14ac:dyDescent="0.25">
      <c r="A28" s="4" t="s">
        <v>79</v>
      </c>
      <c r="B28" s="5">
        <v>359727.7175000002</v>
      </c>
    </row>
    <row r="29" spans="1:2" x14ac:dyDescent="0.25">
      <c r="A29" s="4" t="s">
        <v>22</v>
      </c>
      <c r="B29" s="5">
        <v>47464.452999999994</v>
      </c>
    </row>
    <row r="30" spans="1:2" x14ac:dyDescent="0.25">
      <c r="A30" s="4" t="s">
        <v>31</v>
      </c>
      <c r="B30" s="5">
        <v>290822.78349999979</v>
      </c>
    </row>
    <row r="31" spans="1:2" x14ac:dyDescent="0.25">
      <c r="A31" s="4" t="s">
        <v>69</v>
      </c>
      <c r="B31" s="5">
        <v>282292.98399999988</v>
      </c>
    </row>
    <row r="32" spans="1:2" x14ac:dyDescent="0.25">
      <c r="A32" s="4" t="s">
        <v>1150</v>
      </c>
      <c r="B32" s="5">
        <v>1055315.9489999998</v>
      </c>
    </row>
    <row r="40" spans="1:2" x14ac:dyDescent="0.25">
      <c r="A40" s="10" t="s">
        <v>1163</v>
      </c>
      <c r="B40" s="10"/>
    </row>
    <row r="41" spans="1:2" x14ac:dyDescent="0.25">
      <c r="A41" s="3" t="s">
        <v>1149</v>
      </c>
      <c r="B41" t="s">
        <v>1152</v>
      </c>
    </row>
    <row r="42" spans="1:2" x14ac:dyDescent="0.25">
      <c r="A42" s="4" t="s">
        <v>56</v>
      </c>
      <c r="B42" s="5">
        <v>15449.110999999997</v>
      </c>
    </row>
    <row r="43" spans="1:2" x14ac:dyDescent="0.25">
      <c r="A43" s="4" t="s">
        <v>75</v>
      </c>
      <c r="B43" s="5">
        <v>5560.7744999999995</v>
      </c>
    </row>
    <row r="44" spans="1:2" x14ac:dyDescent="0.25">
      <c r="A44" s="4" t="s">
        <v>46</v>
      </c>
      <c r="B44" s="5">
        <v>10511.510000000004</v>
      </c>
    </row>
    <row r="45" spans="1:2" x14ac:dyDescent="0.25">
      <c r="A45" s="4" t="s">
        <v>166</v>
      </c>
      <c r="B45" s="5">
        <v>37810.457499999997</v>
      </c>
    </row>
    <row r="46" spans="1:2" x14ac:dyDescent="0.25">
      <c r="A46" s="4" t="s">
        <v>40</v>
      </c>
      <c r="B46" s="5">
        <v>43267.157000000007</v>
      </c>
    </row>
    <row r="47" spans="1:2" x14ac:dyDescent="0.25">
      <c r="A47" s="4" t="s">
        <v>149</v>
      </c>
      <c r="B47" s="5">
        <v>14109.3055</v>
      </c>
    </row>
    <row r="48" spans="1:2" x14ac:dyDescent="0.25">
      <c r="A48" s="4" t="s">
        <v>113</v>
      </c>
      <c r="B48" s="5">
        <v>9244.7124999999978</v>
      </c>
    </row>
    <row r="49" spans="1:2" x14ac:dyDescent="0.25">
      <c r="A49" s="4" t="s">
        <v>32</v>
      </c>
      <c r="B49" s="5">
        <v>104185.47100000002</v>
      </c>
    </row>
    <row r="50" spans="1:2" x14ac:dyDescent="0.25">
      <c r="A50" s="4" t="s">
        <v>103</v>
      </c>
      <c r="B50" s="5">
        <v>29437.505000000001</v>
      </c>
    </row>
    <row r="51" spans="1:2" x14ac:dyDescent="0.25">
      <c r="A51" s="4" t="s">
        <v>85</v>
      </c>
      <c r="B51" s="5">
        <v>171455.617</v>
      </c>
    </row>
    <row r="52" spans="1:2" x14ac:dyDescent="0.25">
      <c r="A52" s="4" t="s">
        <v>172</v>
      </c>
      <c r="B52" s="5">
        <v>36348.262999999999</v>
      </c>
    </row>
    <row r="53" spans="1:2" x14ac:dyDescent="0.25">
      <c r="A53" s="4" t="s">
        <v>190</v>
      </c>
      <c r="B53" s="5">
        <v>5917.2389999999996</v>
      </c>
    </row>
    <row r="54" spans="1:2" x14ac:dyDescent="0.25">
      <c r="A54" s="4" t="s">
        <v>67</v>
      </c>
      <c r="B54" s="5">
        <v>12963.008500000007</v>
      </c>
    </row>
    <row r="55" spans="1:2" x14ac:dyDescent="0.25">
      <c r="A55" s="4" t="s">
        <v>126</v>
      </c>
      <c r="B55" s="5">
        <v>8217.4444999999996</v>
      </c>
    </row>
    <row r="56" spans="1:2" x14ac:dyDescent="0.25">
      <c r="A56" s="4" t="s">
        <v>101</v>
      </c>
      <c r="B56" s="5">
        <v>5541.1704999999993</v>
      </c>
    </row>
    <row r="57" spans="1:2" x14ac:dyDescent="0.25">
      <c r="A57" s="4" t="s">
        <v>80</v>
      </c>
      <c r="B57" s="5">
        <v>89517.557000000001</v>
      </c>
    </row>
    <row r="58" spans="1:2" x14ac:dyDescent="0.25">
      <c r="A58" s="4" t="s">
        <v>70</v>
      </c>
      <c r="B58" s="5">
        <v>254513.46300000005</v>
      </c>
    </row>
    <row r="59" spans="1:2" x14ac:dyDescent="0.25">
      <c r="A59" s="4" t="s">
        <v>93</v>
      </c>
      <c r="B59" s="5">
        <v>21249.487500000003</v>
      </c>
    </row>
    <row r="60" spans="1:2" x14ac:dyDescent="0.25">
      <c r="A60" s="4" t="s">
        <v>83</v>
      </c>
      <c r="B60" s="5">
        <v>9448.1899999999987</v>
      </c>
    </row>
    <row r="61" spans="1:2" x14ac:dyDescent="0.25">
      <c r="A61" s="4" t="s">
        <v>120</v>
      </c>
      <c r="B61" s="5">
        <v>15263.831999999993</v>
      </c>
    </row>
    <row r="62" spans="1:2" x14ac:dyDescent="0.25">
      <c r="A62" s="4" t="s">
        <v>23</v>
      </c>
      <c r="B62" s="5">
        <v>8038.1504999999979</v>
      </c>
    </row>
    <row r="63" spans="1:2" x14ac:dyDescent="0.25">
      <c r="A63" s="4" t="s">
        <v>73</v>
      </c>
      <c r="B63" s="5">
        <v>8103.6669999999986</v>
      </c>
    </row>
    <row r="64" spans="1:2" x14ac:dyDescent="0.25">
      <c r="A64" s="4" t="s">
        <v>122</v>
      </c>
      <c r="B64" s="5">
        <v>84310.210500000016</v>
      </c>
    </row>
    <row r="65" spans="1:2" x14ac:dyDescent="0.25">
      <c r="A65" s="4" t="s">
        <v>96</v>
      </c>
      <c r="B65" s="5">
        <v>54852.645000000019</v>
      </c>
    </row>
    <row r="66" spans="1:2" x14ac:dyDescent="0.25">
      <c r="A66" s="4" t="s">
        <v>1150</v>
      </c>
      <c r="B66" s="5">
        <v>1055315.949</v>
      </c>
    </row>
    <row r="78" spans="1:2" x14ac:dyDescent="0.25">
      <c r="A78" s="10" t="s">
        <v>1154</v>
      </c>
      <c r="B78" s="10"/>
    </row>
    <row r="79" spans="1:2" x14ac:dyDescent="0.25">
      <c r="A79" s="3" t="s">
        <v>1149</v>
      </c>
      <c r="B79" t="s">
        <v>1151</v>
      </c>
    </row>
    <row r="80" spans="1:2" x14ac:dyDescent="0.25">
      <c r="A80" s="4" t="s">
        <v>143</v>
      </c>
      <c r="B80" s="5">
        <v>181</v>
      </c>
    </row>
    <row r="81" spans="1:2" x14ac:dyDescent="0.25">
      <c r="A81" s="4" t="s">
        <v>36</v>
      </c>
      <c r="B81" s="5">
        <v>526</v>
      </c>
    </row>
    <row r="82" spans="1:2" x14ac:dyDescent="0.25">
      <c r="A82" s="4" t="s">
        <v>53</v>
      </c>
      <c r="B82" s="5">
        <v>186</v>
      </c>
    </row>
    <row r="83" spans="1:2" x14ac:dyDescent="0.25">
      <c r="A83" s="4" t="s">
        <v>27</v>
      </c>
      <c r="B83" s="5">
        <v>157</v>
      </c>
    </row>
    <row r="84" spans="1:2" x14ac:dyDescent="0.25">
      <c r="A84" s="4" t="s">
        <v>1150</v>
      </c>
      <c r="B84" s="5">
        <v>1050</v>
      </c>
    </row>
    <row r="93" spans="1:2" x14ac:dyDescent="0.25">
      <c r="A93" s="10" t="s">
        <v>1162</v>
      </c>
      <c r="B93" s="10"/>
    </row>
    <row r="94" spans="1:2" x14ac:dyDescent="0.25">
      <c r="A94" s="3" t="s">
        <v>1149</v>
      </c>
      <c r="B94" t="s">
        <v>1152</v>
      </c>
    </row>
    <row r="95" spans="1:2" x14ac:dyDescent="0.25">
      <c r="A95" s="4" t="s">
        <v>25</v>
      </c>
      <c r="B95" s="5">
        <v>224769.43750000003</v>
      </c>
    </row>
    <row r="96" spans="1:2" x14ac:dyDescent="0.25">
      <c r="A96" s="4" t="s">
        <v>34</v>
      </c>
      <c r="B96" s="5">
        <v>257533.18899999978</v>
      </c>
    </row>
    <row r="97" spans="1:2" x14ac:dyDescent="0.25">
      <c r="A97" s="4" t="s">
        <v>48</v>
      </c>
      <c r="B97" s="5">
        <v>185400.32950000002</v>
      </c>
    </row>
    <row r="98" spans="1:2" x14ac:dyDescent="0.25">
      <c r="A98" s="4" t="s">
        <v>60</v>
      </c>
      <c r="B98" s="5">
        <v>188612.152</v>
      </c>
    </row>
    <row r="99" spans="1:2" x14ac:dyDescent="0.25">
      <c r="A99" s="4" t="s">
        <v>42</v>
      </c>
      <c r="B99" s="5">
        <v>199000.8409999999</v>
      </c>
    </row>
    <row r="100" spans="1:2" x14ac:dyDescent="0.25">
      <c r="A100" s="4" t="s">
        <v>1150</v>
      </c>
      <c r="B100" s="5">
        <v>1055315.9489999996</v>
      </c>
    </row>
    <row r="112" spans="1:2" x14ac:dyDescent="0.25">
      <c r="A112" s="10" t="s">
        <v>1155</v>
      </c>
      <c r="B112" s="10"/>
    </row>
    <row r="113" spans="1:2" x14ac:dyDescent="0.25">
      <c r="A113" s="3" t="s">
        <v>1149</v>
      </c>
      <c r="B113" t="s">
        <v>1152</v>
      </c>
    </row>
    <row r="114" spans="1:2" x14ac:dyDescent="0.25">
      <c r="A114" s="4" t="s">
        <v>63</v>
      </c>
      <c r="B114" s="5">
        <v>257109.0094999999</v>
      </c>
    </row>
    <row r="115" spans="1:2" x14ac:dyDescent="0.25">
      <c r="A115" s="4" t="s">
        <v>39</v>
      </c>
      <c r="B115" s="5">
        <v>260392.64599999992</v>
      </c>
    </row>
    <row r="116" spans="1:2" x14ac:dyDescent="0.25">
      <c r="A116" s="4" t="s">
        <v>21</v>
      </c>
      <c r="B116" s="5">
        <v>263639.19849999988</v>
      </c>
    </row>
    <row r="117" spans="1:2" x14ac:dyDescent="0.25">
      <c r="A117" s="4" t="s">
        <v>66</v>
      </c>
      <c r="B117" s="5">
        <v>274175.09500000003</v>
      </c>
    </row>
    <row r="118" spans="1:2" x14ac:dyDescent="0.25">
      <c r="A118" s="4" t="s">
        <v>1150</v>
      </c>
      <c r="B118" s="5">
        <v>1055315.9489999998</v>
      </c>
    </row>
    <row r="129" spans="1:2" x14ac:dyDescent="0.25">
      <c r="A129" s="10" t="s">
        <v>1156</v>
      </c>
      <c r="B129" s="10"/>
    </row>
    <row r="130" spans="1:2" x14ac:dyDescent="0.25">
      <c r="A130" s="3" t="s">
        <v>1149</v>
      </c>
      <c r="B130" t="s">
        <v>1152</v>
      </c>
    </row>
    <row r="131" spans="1:2" x14ac:dyDescent="0.25">
      <c r="A131" s="4" t="s">
        <v>65</v>
      </c>
      <c r="B131" s="5">
        <v>65494.743499999975</v>
      </c>
    </row>
    <row r="132" spans="1:2" x14ac:dyDescent="0.25">
      <c r="A132" s="4" t="s">
        <v>78</v>
      </c>
      <c r="B132" s="5">
        <v>81099.517999999996</v>
      </c>
    </row>
    <row r="133" spans="1:2" x14ac:dyDescent="0.25">
      <c r="A133" s="4" t="s">
        <v>130</v>
      </c>
      <c r="B133" s="5">
        <v>36453.398999999998</v>
      </c>
    </row>
    <row r="134" spans="1:2" x14ac:dyDescent="0.25">
      <c r="A134" s="4" t="s">
        <v>82</v>
      </c>
      <c r="B134" s="5">
        <v>73397.311000000002</v>
      </c>
    </row>
    <row r="135" spans="1:2" x14ac:dyDescent="0.25">
      <c r="A135" s="4" t="s">
        <v>38</v>
      </c>
      <c r="B135" s="5">
        <v>78103.917999999991</v>
      </c>
    </row>
    <row r="136" spans="1:2" x14ac:dyDescent="0.25">
      <c r="A136" s="4" t="s">
        <v>100</v>
      </c>
      <c r="B136" s="5">
        <v>50034.728999999999</v>
      </c>
    </row>
    <row r="137" spans="1:2" x14ac:dyDescent="0.25">
      <c r="A137" s="4" t="s">
        <v>20</v>
      </c>
      <c r="B137" s="5">
        <v>64369.518999999993</v>
      </c>
    </row>
    <row r="138" spans="1:2" x14ac:dyDescent="0.25">
      <c r="A138" s="4" t="s">
        <v>132</v>
      </c>
      <c r="B138" s="5">
        <v>72730.693500000023</v>
      </c>
    </row>
    <row r="139" spans="1:2" x14ac:dyDescent="0.25">
      <c r="A139" s="4" t="s">
        <v>30</v>
      </c>
      <c r="B139" s="5">
        <v>70805.849499999997</v>
      </c>
    </row>
    <row r="140" spans="1:2" x14ac:dyDescent="0.25">
      <c r="A140" s="4" t="s">
        <v>91</v>
      </c>
      <c r="B140" s="5">
        <v>82243.466499999995</v>
      </c>
    </row>
    <row r="141" spans="1:2" x14ac:dyDescent="0.25">
      <c r="A141" s="4" t="s">
        <v>51</v>
      </c>
      <c r="B141" s="5">
        <v>55447.293500000007</v>
      </c>
    </row>
    <row r="142" spans="1:2" x14ac:dyDescent="0.25">
      <c r="A142" s="4" t="s">
        <v>148</v>
      </c>
      <c r="B142" s="5">
        <v>72589.273000000016</v>
      </c>
    </row>
    <row r="143" spans="1:2" x14ac:dyDescent="0.25">
      <c r="A143" s="4" t="s">
        <v>62</v>
      </c>
      <c r="B143" s="5">
        <v>87894.824499999988</v>
      </c>
    </row>
    <row r="144" spans="1:2" x14ac:dyDescent="0.25">
      <c r="A144" s="4" t="s">
        <v>45</v>
      </c>
      <c r="B144" s="5">
        <v>76073.082000000024</v>
      </c>
    </row>
    <row r="145" spans="1:2" x14ac:dyDescent="0.25">
      <c r="A145" s="4" t="s">
        <v>110</v>
      </c>
      <c r="B145" s="5">
        <v>88578.329000000042</v>
      </c>
    </row>
    <row r="146" spans="1:2" x14ac:dyDescent="0.25">
      <c r="A146" s="4" t="s">
        <v>1150</v>
      </c>
      <c r="B146" s="5">
        <v>1055315.9490000003</v>
      </c>
    </row>
    <row r="154" spans="1:2" x14ac:dyDescent="0.25">
      <c r="A154" s="10" t="s">
        <v>1158</v>
      </c>
      <c r="B154" s="10"/>
    </row>
    <row r="155" spans="1:2" x14ac:dyDescent="0.25">
      <c r="A155" s="3" t="s">
        <v>1149</v>
      </c>
      <c r="B155" t="s">
        <v>1157</v>
      </c>
    </row>
    <row r="156" spans="1:2" x14ac:dyDescent="0.25">
      <c r="A156" s="4" t="s">
        <v>44</v>
      </c>
      <c r="B156" s="6">
        <v>204</v>
      </c>
    </row>
    <row r="157" spans="1:2" x14ac:dyDescent="0.25">
      <c r="A157" s="4" t="s">
        <v>19</v>
      </c>
      <c r="B157" s="6">
        <v>198</v>
      </c>
    </row>
    <row r="158" spans="1:2" x14ac:dyDescent="0.25">
      <c r="A158" s="4" t="s">
        <v>29</v>
      </c>
      <c r="B158" s="6">
        <v>211</v>
      </c>
    </row>
    <row r="159" spans="1:2" x14ac:dyDescent="0.25">
      <c r="A159" s="4" t="s">
        <v>99</v>
      </c>
      <c r="B159" s="6">
        <v>197</v>
      </c>
    </row>
    <row r="160" spans="1:2" x14ac:dyDescent="0.25">
      <c r="A160" s="4" t="s">
        <v>77</v>
      </c>
      <c r="B160" s="6">
        <v>223</v>
      </c>
    </row>
    <row r="161" spans="1:2" x14ac:dyDescent="0.25">
      <c r="A161" s="4" t="s">
        <v>1150</v>
      </c>
      <c r="B161" s="6">
        <v>1033</v>
      </c>
    </row>
    <row r="167" spans="1:2" x14ac:dyDescent="0.25">
      <c r="A167" s="10" t="s">
        <v>1159</v>
      </c>
      <c r="B167" s="10"/>
    </row>
    <row r="168" spans="1:2" x14ac:dyDescent="0.25">
      <c r="A168" s="3" t="s">
        <v>1149</v>
      </c>
      <c r="B168" t="s">
        <v>1152</v>
      </c>
    </row>
    <row r="169" spans="1:2" x14ac:dyDescent="0.25">
      <c r="A169" s="4" t="s">
        <v>35</v>
      </c>
      <c r="B169" s="5">
        <v>237728.16649999988</v>
      </c>
    </row>
    <row r="170" spans="1:2" x14ac:dyDescent="0.25">
      <c r="A170" s="4" t="s">
        <v>26</v>
      </c>
      <c r="B170" s="5">
        <v>224880.20499999978</v>
      </c>
    </row>
    <row r="171" spans="1:2" x14ac:dyDescent="0.25">
      <c r="A171" s="4" t="s">
        <v>49</v>
      </c>
      <c r="B171" s="5">
        <v>229245.42350000012</v>
      </c>
    </row>
    <row r="172" spans="1:2" x14ac:dyDescent="0.25">
      <c r="A172" s="4" t="s">
        <v>89</v>
      </c>
      <c r="B172" s="5">
        <v>175697.25100000002</v>
      </c>
    </row>
    <row r="173" spans="1:2" x14ac:dyDescent="0.25">
      <c r="A173" s="4" t="s">
        <v>94</v>
      </c>
      <c r="B173" s="5">
        <v>187764.90299999999</v>
      </c>
    </row>
    <row r="174" spans="1:2" x14ac:dyDescent="0.25">
      <c r="A174" s="4" t="s">
        <v>1150</v>
      </c>
      <c r="B174" s="5">
        <v>1055315.9489999998</v>
      </c>
    </row>
    <row r="182" spans="1:2" x14ac:dyDescent="0.25">
      <c r="A182" s="10" t="s">
        <v>1161</v>
      </c>
      <c r="B182" s="10"/>
    </row>
    <row r="183" spans="1:2" x14ac:dyDescent="0.25">
      <c r="A183" s="3" t="s">
        <v>1149</v>
      </c>
      <c r="B183" t="s">
        <v>1152</v>
      </c>
    </row>
    <row r="184" spans="1:2" x14ac:dyDescent="0.25">
      <c r="A184" s="4" t="s">
        <v>44</v>
      </c>
      <c r="B184" s="5">
        <v>197015.11899999992</v>
      </c>
    </row>
    <row r="185" spans="1:2" x14ac:dyDescent="0.25">
      <c r="A185" s="4" t="s">
        <v>19</v>
      </c>
      <c r="B185" s="5">
        <v>183066.3844999999</v>
      </c>
    </row>
    <row r="186" spans="1:2" x14ac:dyDescent="0.25">
      <c r="A186" s="4" t="s">
        <v>29</v>
      </c>
      <c r="B186" s="5">
        <v>236804.59199999989</v>
      </c>
    </row>
    <row r="187" spans="1:2" x14ac:dyDescent="0.25">
      <c r="A187" s="4" t="s">
        <v>99</v>
      </c>
      <c r="B187" s="5">
        <v>195354.69549999997</v>
      </c>
    </row>
    <row r="188" spans="1:2" x14ac:dyDescent="0.25">
      <c r="A188" s="4" t="s">
        <v>77</v>
      </c>
      <c r="B188" s="5">
        <v>243075.15800000014</v>
      </c>
    </row>
    <row r="189" spans="1:2" x14ac:dyDescent="0.25">
      <c r="A189" s="4" t="s">
        <v>1150</v>
      </c>
      <c r="B189" s="5">
        <v>1055315.9489999998</v>
      </c>
    </row>
  </sheetData>
  <mergeCells count="10">
    <mergeCell ref="A129:B129"/>
    <mergeCell ref="A154:B154"/>
    <mergeCell ref="A167:B167"/>
    <mergeCell ref="A182:B182"/>
    <mergeCell ref="A2:B2"/>
    <mergeCell ref="A25:B25"/>
    <mergeCell ref="A40:B40"/>
    <mergeCell ref="A78:B78"/>
    <mergeCell ref="A93:B93"/>
    <mergeCell ref="A112:B112"/>
  </mergeCells>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8E50A-192A-4272-81C4-BEA567DE5563}">
  <dimension ref="A1:AS9"/>
  <sheetViews>
    <sheetView tabSelected="1" zoomScale="85" zoomScaleNormal="85" workbookViewId="0">
      <selection activeCell="T66" sqref="T66"/>
    </sheetView>
  </sheetViews>
  <sheetFormatPr defaultRowHeight="15" x14ac:dyDescent="0.25"/>
  <sheetData>
    <row r="1" spans="1:45" x14ac:dyDescent="0.25">
      <c r="A1" s="7" t="s">
        <v>1164</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9"/>
      <c r="AP1" s="9"/>
      <c r="AQ1" s="9"/>
      <c r="AR1" s="9"/>
      <c r="AS1" s="9"/>
    </row>
    <row r="2" spans="1:45"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9"/>
      <c r="AP2" s="9"/>
      <c r="AQ2" s="9"/>
      <c r="AR2" s="9"/>
      <c r="AS2" s="9"/>
    </row>
    <row r="3" spans="1:45" x14ac:dyDescent="0.25">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9"/>
      <c r="AP3" s="9"/>
      <c r="AQ3" s="9"/>
      <c r="AR3" s="9"/>
      <c r="AS3" s="9"/>
    </row>
    <row r="4" spans="1:45"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9"/>
      <c r="AP4" s="9"/>
      <c r="AQ4" s="9"/>
      <c r="AR4" s="9"/>
      <c r="AS4" s="9"/>
    </row>
    <row r="5" spans="1:45"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9"/>
      <c r="AP5" s="9"/>
      <c r="AQ5" s="9"/>
      <c r="AR5" s="9"/>
      <c r="AS5" s="9"/>
    </row>
    <row r="6" spans="1:45" x14ac:dyDescent="0.25">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9"/>
      <c r="AP6" s="9"/>
      <c r="AQ6" s="9"/>
      <c r="AR6" s="9"/>
      <c r="AS6" s="9"/>
    </row>
    <row r="7" spans="1:45" x14ac:dyDescent="0.2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9"/>
      <c r="AP7" s="9"/>
      <c r="AQ7" s="9"/>
      <c r="AR7" s="9"/>
      <c r="AS7" s="9"/>
    </row>
    <row r="8" spans="1:45" x14ac:dyDescent="0.25">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9"/>
      <c r="AP8" s="9"/>
      <c r="AQ8" s="9"/>
      <c r="AR8" s="9"/>
      <c r="AS8" s="9"/>
    </row>
    <row r="9" spans="1:45" x14ac:dyDescent="0.25">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9"/>
      <c r="AP9" s="9"/>
      <c r="AQ9" s="9"/>
      <c r="AR9" s="9"/>
      <c r="AS9" s="9"/>
    </row>
  </sheetData>
  <mergeCells count="2">
    <mergeCell ref="A1:AN9"/>
    <mergeCell ref="AO1:AS9"/>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B52202-4134-424C-9E18-99B45DBBAD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cleaning</vt:lpstr>
      <vt:lpstr>Pivot table</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Younis Mohammed</dc:creator>
  <cp:lastModifiedBy>Younis Mohammed</cp:lastModifiedBy>
  <dcterms:created xsi:type="dcterms:W3CDTF">2026-04-16T18:01:54Z</dcterms:created>
  <dcterms:modified xsi:type="dcterms:W3CDTF">2026-04-23T19:58:48Z</dcterms:modified>
</cp:coreProperties>
</file>